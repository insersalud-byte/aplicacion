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cios damian" sheetId="1" r:id="rId5"/>
    <sheet state="visible" name="precios mark" sheetId="2" r:id="rId6"/>
    <sheet state="visible" name="stock mascaras" sheetId="3" r:id="rId7"/>
  </sheets>
  <definedNames/>
  <calcPr/>
</workbook>
</file>

<file path=xl/sharedStrings.xml><?xml version="1.0" encoding="utf-8"?>
<sst xmlns="http://schemas.openxmlformats.org/spreadsheetml/2006/main" count="494" uniqueCount="257">
  <si>
    <t>lista precios</t>
  </si>
  <si>
    <t>dólar</t>
  </si>
  <si>
    <t xml:space="preserve">   </t>
  </si>
  <si>
    <t>DESCRIPCIoN</t>
  </si>
  <si>
    <t>MARCA</t>
  </si>
  <si>
    <t>MODELO</t>
  </si>
  <si>
    <t>PRECIO (USD)</t>
  </si>
  <si>
    <t>venta en dolares</t>
  </si>
  <si>
    <t>costo pesos</t>
  </si>
  <si>
    <t>precio venta PESOS</t>
  </si>
  <si>
    <t>cough asisst</t>
  </si>
  <si>
    <t>AUTO CPAP CON HUMIDIFICADOR</t>
  </si>
  <si>
    <t>BMC</t>
  </si>
  <si>
    <t>G3</t>
  </si>
  <si>
    <t>BPAP CON HUMIDIFICADOR AVAPS</t>
  </si>
  <si>
    <t>G2</t>
  </si>
  <si>
    <t>1.012,00</t>
  </si>
  <si>
    <t>bpap con humidificador  Y FREC</t>
  </si>
  <si>
    <t>bmc</t>
  </si>
  <si>
    <t>g3</t>
  </si>
  <si>
    <t>CONCENTRADOR YUWELL Y BMC</t>
  </si>
  <si>
    <t>YUWELL</t>
  </si>
  <si>
    <t>AUTOCPAP CON HUMIDIFICADOR Y MODEM</t>
  </si>
  <si>
    <t>PHILIPS</t>
  </si>
  <si>
    <t>DREAMSTATION</t>
  </si>
  <si>
    <t>TERMOHUMIDIFICADOR</t>
  </si>
  <si>
    <t xml:space="preserve">AUTO CPAP CON HUMIDIFICADOR </t>
  </si>
  <si>
    <t>AUTO CPAP SIN HUMIDIFICADOR</t>
  </si>
  <si>
    <t>G2S</t>
  </si>
  <si>
    <t>YH-560</t>
  </si>
  <si>
    <t>402,50</t>
  </si>
  <si>
    <t>460,00</t>
  </si>
  <si>
    <t>CPAP CON HUMIDIFICADOR</t>
  </si>
  <si>
    <t>320,00</t>
  </si>
  <si>
    <t>YAMIND</t>
  </si>
  <si>
    <t>DM26</t>
  </si>
  <si>
    <t>YH-350</t>
  </si>
  <si>
    <t>YH-360</t>
  </si>
  <si>
    <t>CPAP PHILIPS CON MODEM</t>
  </si>
  <si>
    <t>DREASTATION</t>
  </si>
  <si>
    <t xml:space="preserve">ASPIRADOR DE SECRESIONES </t>
  </si>
  <si>
    <t>MOVIVAC</t>
  </si>
  <si>
    <t>A-550</t>
  </si>
  <si>
    <t>CPAP CON HUMIDIFICADOR RESMED MAS NUBE</t>
  </si>
  <si>
    <t>AIRSENSE</t>
  </si>
  <si>
    <t>AUTO CPAP CON HUMIDIFICADOR SIN NUBE RESMED</t>
  </si>
  <si>
    <t>690,00</t>
  </si>
  <si>
    <t>AUTO CPAP CON HUMIDIFICADOR CON NUBE RESMED</t>
  </si>
  <si>
    <t>AUTOCPAP SIN HUMIDIFICADOR + NASAL N5AH BMC</t>
  </si>
  <si>
    <t>M1</t>
  </si>
  <si>
    <t>MINI</t>
  </si>
  <si>
    <t>AUTOCPAP SIN HUMIDIFICADOR + NASAL PILLOW P2H BMC</t>
  </si>
  <si>
    <t>1070.5</t>
  </si>
  <si>
    <t>AUTOCPAP CON HUMIDIFICADOR</t>
  </si>
  <si>
    <t>678,50</t>
  </si>
  <si>
    <t>YH-830</t>
  </si>
  <si>
    <t>759,00</t>
  </si>
  <si>
    <t>BPAP CON HUMIDIFICADOR ST + MASCARA NASAL F2 TALLE M</t>
  </si>
  <si>
    <t>CONCENTRADOR DE OXIGENO PORTATIL PHILIPS</t>
  </si>
  <si>
    <t>SIMPLY</t>
  </si>
  <si>
    <t>GO</t>
  </si>
  <si>
    <t>2.990,00</t>
  </si>
  <si>
    <t>concentrador portatil cont 2L 2 baterias</t>
  </si>
  <si>
    <t>gce</t>
  </si>
  <si>
    <t>NASAL S CON APOYA FRENTE</t>
  </si>
  <si>
    <t>YN-02</t>
  </si>
  <si>
    <t>25,00</t>
  </si>
  <si>
    <t>NASAL M CON APOYA FRENTE</t>
  </si>
  <si>
    <t>NASAL L CON APOYA FRENTE</t>
  </si>
  <si>
    <t>NASAL L M S SIN APOYA FRENTE</t>
  </si>
  <si>
    <t>YN-03</t>
  </si>
  <si>
    <t>BUCONASAL S</t>
  </si>
  <si>
    <t>YF-01</t>
  </si>
  <si>
    <t>28,00</t>
  </si>
  <si>
    <t>BUCONASAL M</t>
  </si>
  <si>
    <t>BUCONASAL L</t>
  </si>
  <si>
    <t>YF-02</t>
  </si>
  <si>
    <t>32,00</t>
  </si>
  <si>
    <t>PILLOW MULTITALLE</t>
  </si>
  <si>
    <t>YP-01</t>
  </si>
  <si>
    <t>NASAL PILLOW M</t>
  </si>
  <si>
    <t>NASAL PILLOW L</t>
  </si>
  <si>
    <t>P2</t>
  </si>
  <si>
    <t>61,00</t>
  </si>
  <si>
    <t xml:space="preserve">  nasal dreamwear</t>
  </si>
  <si>
    <t>DREAMWEAR</t>
  </si>
  <si>
    <t>DREAMWEAR BUCO NASAL S</t>
  </si>
  <si>
    <t>DREAMWEAR BUCO NASAL M</t>
  </si>
  <si>
    <t>DREAMWEAR BUCO NASAL L</t>
  </si>
  <si>
    <t>DREAMWEAR NASAL WISP PEDIATRICO</t>
  </si>
  <si>
    <t>161,00</t>
  </si>
  <si>
    <t>MASCARA NASAL PICO TALLE</t>
  </si>
  <si>
    <t>L</t>
  </si>
  <si>
    <t>52,00</t>
  </si>
  <si>
    <t>NASAL S</t>
  </si>
  <si>
    <t>31,05</t>
  </si>
  <si>
    <t>NASAL M</t>
  </si>
  <si>
    <t>NASAL L</t>
  </si>
  <si>
    <t>F2</t>
  </si>
  <si>
    <t>BUCONASAL CON APOYA FRENTE S</t>
  </si>
  <si>
    <t>N4</t>
  </si>
  <si>
    <t>N2</t>
  </si>
  <si>
    <t>27,60</t>
  </si>
  <si>
    <t>N5</t>
  </si>
  <si>
    <t>nasal con apoya frente m y l</t>
  </si>
  <si>
    <t>n4</t>
  </si>
  <si>
    <t>143,75</t>
  </si>
  <si>
    <t>103,50</t>
  </si>
  <si>
    <t>CUBETA</t>
  </si>
  <si>
    <t>51,75</t>
  </si>
  <si>
    <t>TUBULADURA</t>
  </si>
  <si>
    <t>RESMED</t>
  </si>
  <si>
    <t>NASAL SIN APOYA FRENTE S</t>
  </si>
  <si>
    <t>N5A</t>
  </si>
  <si>
    <t>NASAL SIN APOYA FRENTE M</t>
  </si>
  <si>
    <t>NASAL SIN APOYA FRENTE L</t>
  </si>
  <si>
    <t>NASAL SIN APOYA FRENTE XL</t>
  </si>
  <si>
    <t>NASAL CON APOYA FRENTE S M L</t>
  </si>
  <si>
    <t>BUCONASAL SIN APOYA FRENTE S</t>
  </si>
  <si>
    <t>F5A</t>
  </si>
  <si>
    <t>BUCONASAL SIN APOYA FRENTE M</t>
  </si>
  <si>
    <t>buconasal simil dreamwear</t>
  </si>
  <si>
    <t>f6</t>
  </si>
  <si>
    <t>BUCONASAL SIN APOYA FRENTE L</t>
  </si>
  <si>
    <t>BUCONASAL GEL L</t>
  </si>
  <si>
    <t>AMARA</t>
  </si>
  <si>
    <t>115,00</t>
  </si>
  <si>
    <t>108,10</t>
  </si>
  <si>
    <t>N20</t>
  </si>
  <si>
    <t>73,60</t>
  </si>
  <si>
    <t>F20</t>
  </si>
  <si>
    <t>138,00</t>
  </si>
  <si>
    <t>buconasal sin apoya frente</t>
  </si>
  <si>
    <t>F30</t>
  </si>
  <si>
    <t>ALMOHADILLA NASAL</t>
  </si>
  <si>
    <t>AIRFIT</t>
  </si>
  <si>
    <t>112,70</t>
  </si>
  <si>
    <t>75 MASCARA NASAL MIMIMO CONTACTO (talles sw/s/m) RESMED</t>
  </si>
  <si>
    <t>N30i</t>
  </si>
  <si>
    <t>MASCARA NASAL RESMED</t>
  </si>
  <si>
    <t>MIRAGE</t>
  </si>
  <si>
    <t>FX</t>
  </si>
  <si>
    <t>65,55</t>
  </si>
  <si>
    <t>NASAL CON APOYA FRENTE M</t>
  </si>
  <si>
    <t>RESCOMF</t>
  </si>
  <si>
    <t>NM2</t>
  </si>
  <si>
    <t>FM</t>
  </si>
  <si>
    <t>34,50</t>
  </si>
  <si>
    <t>FM1A</t>
  </si>
  <si>
    <t>BUCONASAL CON APOYA FRENTE M</t>
  </si>
  <si>
    <t>F1B</t>
  </si>
  <si>
    <t>NM4</t>
  </si>
  <si>
    <t>POLIGRAFO BMC</t>
  </si>
  <si>
    <t>YH-600B</t>
  </si>
  <si>
    <t>PRO</t>
  </si>
  <si>
    <t>1.207,50</t>
  </si>
  <si>
    <t>POLIGRAFO (incluye 30 canulas) BMC</t>
  </si>
  <si>
    <t>1.380,00</t>
  </si>
  <si>
    <t>CONCENTRADOR DE OXIGENO 5LT LONFIANG</t>
  </si>
  <si>
    <t>7F5</t>
  </si>
  <si>
    <t>CONCENTRADOR OXI PORTATIL PULSADO 2 BATERIAS</t>
  </si>
  <si>
    <t>GCE</t>
  </si>
  <si>
    <t>ZEN- O LITE</t>
  </si>
  <si>
    <t>FUENTE DE ALIMENTACION</t>
  </si>
  <si>
    <t>S10</t>
  </si>
  <si>
    <t>146,05</t>
  </si>
  <si>
    <t>BANCO DE BATERIA EXTERNA</t>
  </si>
  <si>
    <t>INVERTER</t>
  </si>
  <si>
    <t>100W</t>
  </si>
  <si>
    <t>400,00</t>
  </si>
  <si>
    <t>DRAGER</t>
  </si>
  <si>
    <t>NOVASTAR</t>
  </si>
  <si>
    <t>CLASSICSTAR</t>
  </si>
  <si>
    <t>90 TUBO DE OXIGENO 0,415 (incluye cilindro 0,415 m3 + regulador + bolso reforzado + canula</t>
  </si>
  <si>
    <t>+</t>
  </si>
  <si>
    <t>recarga)</t>
  </si>
  <si>
    <t>TUBO DE OXI 3 M3 REGULA, CANULA.RECARGA</t>
  </si>
  <si>
    <t>STELLAR 150</t>
  </si>
  <si>
    <t>Producto</t>
  </si>
  <si>
    <t>Precio (USD)</t>
  </si>
  <si>
    <t>IVA</t>
  </si>
  <si>
    <t>precio venta dolares</t>
  </si>
  <si>
    <t>VENTA EN PESOS</t>
  </si>
  <si>
    <t>VALOR DOLAR</t>
  </si>
  <si>
    <t>concentrador portatil Kingon p2-e 1 litro 5 niveles</t>
  </si>
  <si>
    <t xml:space="preserve"> </t>
  </si>
  <si>
    <t>Concentrador portatil Kingon P2-S3. (1,8 kg.; 0,62 litros/min; 3 niveles pulsado)</t>
  </si>
  <si>
    <t>concentrador portatil Kingon p2-e6 1,2 litro 6 niveles</t>
  </si>
  <si>
    <t>concentrador portatil kingon p2-e7 1,4 litros 7 niveles</t>
  </si>
  <si>
    <t>Concentrador portatil Kingon P2-TOC (8 kg.; carrito</t>
  </si>
  <si>
    <t xml:space="preserve">BATERIA KINGON P2-tOC </t>
  </si>
  <si>
    <t>bateria kingon</t>
  </si>
  <si>
    <t>mochila kingon</t>
  </si>
  <si>
    <t>filtro kingon 5 unidades</t>
  </si>
  <si>
    <t>CONCENTRADOR ESTACIONARIO MICITECH</t>
  </si>
  <si>
    <t>CPAP Topson</t>
  </si>
  <si>
    <t>CPAP + Humidificador Topson</t>
  </si>
  <si>
    <t>AUTOCPAP Topson</t>
  </si>
  <si>
    <t>AUTOCPAP + Humidificador Topson</t>
  </si>
  <si>
    <t>BPAP + Humidificador Topson</t>
  </si>
  <si>
    <t>AUTOBPAP + Humidificador Topson</t>
  </si>
  <si>
    <t>BPAP con Frecuencia + Humidificador Topson</t>
  </si>
  <si>
    <t>BPAP AVAPS 25 + Humidificador Topson</t>
  </si>
  <si>
    <t>BPAP AVAPS 30 + Humidificador Topson</t>
  </si>
  <si>
    <t>BPAP AVAPS 35 + Humidificador Topson</t>
  </si>
  <si>
    <t>Humidificador Topson (incluye carcasa reusable)</t>
  </si>
  <si>
    <t>Carcasa reusable para humidificador</t>
  </si>
  <si>
    <t>Tubladura 22 mm premium Topson</t>
  </si>
  <si>
    <t>Tubladura 15 mm premium Topson</t>
  </si>
  <si>
    <t>Filtro exterior Topson</t>
  </si>
  <si>
    <t>HSINER 821 (S, M, L)</t>
  </si>
  <si>
    <t>HSINER 825 (S, M, L)</t>
  </si>
  <si>
    <t>HSINER Comfo plus (S, M, L)</t>
  </si>
  <si>
    <t>HSINER 843 (S, M, L)</t>
  </si>
  <si>
    <t>YUWELL YN-02 (S, M, L)</t>
  </si>
  <si>
    <t>YUWELL YN-03 (S, M, L)</t>
  </si>
  <si>
    <t>HSINER 101 (4 talles incluidos)</t>
  </si>
  <si>
    <t>YUWELL YP-01 (3 talles incluidos)</t>
  </si>
  <si>
    <t>HSINER Comfo (S, M, L)</t>
  </si>
  <si>
    <t>YUWELL YF-01 (S, M, L)</t>
  </si>
  <si>
    <t>YUWELL YF-02 (S, M, L)</t>
  </si>
  <si>
    <t>Nasal HSINER Cirri Mini (S, M, L, XS)</t>
  </si>
  <si>
    <t xml:space="preserve">  </t>
  </si>
  <si>
    <t>NeoQ Infant nasal (XS, S, M, L)</t>
  </si>
  <si>
    <t>Infant CPAP Kit (00, 0, 1, 2, 3, 4, 5)</t>
  </si>
  <si>
    <t>Marca</t>
  </si>
  <si>
    <t>Modelo</t>
  </si>
  <si>
    <t>Talle</t>
  </si>
  <si>
    <t>Stock</t>
  </si>
  <si>
    <t>precio</t>
  </si>
  <si>
    <t>NASALES</t>
  </si>
  <si>
    <t>RESCOM M</t>
  </si>
  <si>
    <t>NASAL CON APOYA</t>
  </si>
  <si>
    <t>M</t>
  </si>
  <si>
    <t>RESCOM</t>
  </si>
  <si>
    <t>NASAL</t>
  </si>
  <si>
    <t>N2 NASAL CON APOYA</t>
  </si>
  <si>
    <t>N4 NASAL CON APOYA</t>
  </si>
  <si>
    <t>S</t>
  </si>
  <si>
    <t>N5 NASAL CON APOYA</t>
  </si>
  <si>
    <t>N5A NASAL SIN APOYA</t>
  </si>
  <si>
    <t>YN 03 NASAL SIN APOYA</t>
  </si>
  <si>
    <t>HSINER</t>
  </si>
  <si>
    <t>NASAL CON APOYA CHILD</t>
  </si>
  <si>
    <t>NASAL CHILD</t>
  </si>
  <si>
    <t>DRAGUERS</t>
  </si>
  <si>
    <t>YN 02 NASAL CON APOYA</t>
  </si>
  <si>
    <t>FACIALES</t>
  </si>
  <si>
    <t>FACIAL CON APOYA</t>
  </si>
  <si>
    <t xml:space="preserve">HSINER	FACIAL CON APOYA	M	2													</t>
  </si>
  <si>
    <t>YF 02 FULLFACE SIN APOYA</t>
  </si>
  <si>
    <t>YEWELL</t>
  </si>
  <si>
    <t>F5A FULL FACE SIN APOYA</t>
  </si>
  <si>
    <t>F2 FULL FACE CON APOYA</t>
  </si>
  <si>
    <t>f6 simil dreamwear</t>
  </si>
  <si>
    <t>s,m,l</t>
  </si>
  <si>
    <t>nasobucal 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</si>
</sst>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.m"/>
  </numFmts>
  <fonts count="7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Font="1"/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ont="1"/>
    <xf borderId="0" fillId="2" fontId="1" numFmtId="0" xfId="0" applyAlignment="1" applyFont="1">
      <alignment readingOrder="0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vertical="bottom"/>
    </xf>
    <xf borderId="0" fillId="2" fontId="2" numFmtId="0" xfId="0" applyAlignment="1" applyFont="1">
      <alignment vertical="bottom"/>
    </xf>
    <xf borderId="0" fillId="4" fontId="1" numFmtId="0" xfId="0" applyFill="1" applyFont="1"/>
    <xf borderId="0" fillId="5" fontId="1" numFmtId="0" xfId="0" applyFill="1" applyFont="1"/>
    <xf borderId="0" fillId="5" fontId="1" numFmtId="0" xfId="0" applyAlignment="1" applyFont="1">
      <alignment readingOrder="0"/>
    </xf>
    <xf borderId="0" fillId="5" fontId="2" numFmtId="0" xfId="0" applyAlignment="1" applyFont="1">
      <alignment vertical="bottom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0" xfId="0" applyAlignment="1" applyFont="1">
      <alignment readingOrder="0" vertical="bottom"/>
    </xf>
    <xf borderId="0" fillId="0" fontId="1" numFmtId="164" xfId="0" applyFont="1" applyNumberFormat="1"/>
    <xf borderId="0" fillId="6" fontId="1" numFmtId="0" xfId="0" applyAlignment="1" applyFill="1" applyFont="1">
      <alignment readingOrder="0"/>
    </xf>
    <xf borderId="1" fillId="0" fontId="3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7" fontId="2" numFmtId="0" xfId="0" applyAlignment="1" applyFill="1" applyFont="1">
      <alignment readingOrder="0" vertical="bottom"/>
    </xf>
    <xf borderId="0" fillId="6" fontId="2" numFmtId="0" xfId="0" applyAlignment="1" applyFont="1">
      <alignment readingOrder="0" vertical="bottom"/>
    </xf>
    <xf borderId="0" fillId="0" fontId="2" numFmtId="0" xfId="0" applyAlignment="1" applyFont="1">
      <alignment readingOrder="0" vertical="bottom"/>
    </xf>
    <xf borderId="2" fillId="8" fontId="3" numFmtId="0" xfId="0" applyAlignment="1" applyBorder="1" applyFill="1" applyFont="1">
      <alignment horizontal="center" readingOrder="0" vertical="top"/>
    </xf>
    <xf borderId="2" fillId="0" fontId="3" numFmtId="0" xfId="0" applyAlignment="1" applyBorder="1" applyFont="1">
      <alignment horizontal="center" readingOrder="0" vertical="top"/>
    </xf>
    <xf borderId="2" fillId="0" fontId="3" numFmtId="3" xfId="0" applyAlignment="1" applyBorder="1" applyFont="1" applyNumberFormat="1">
      <alignment readingOrder="0" vertical="bottom"/>
    </xf>
    <xf borderId="2" fillId="0" fontId="2" numFmtId="4" xfId="0" applyAlignment="1" applyBorder="1" applyFont="1" applyNumberFormat="1">
      <alignment vertical="bottom"/>
    </xf>
    <xf borderId="2" fillId="7" fontId="2" numFmtId="0" xfId="0" applyAlignment="1" applyBorder="1" applyFont="1">
      <alignment vertical="bottom"/>
    </xf>
    <xf borderId="2" fillId="9" fontId="2" numFmtId="0" xfId="0" applyAlignment="1" applyBorder="1" applyFill="1" applyFont="1">
      <alignment vertical="bottom"/>
    </xf>
    <xf borderId="2" fillId="8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3" fillId="0" fontId="4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vertical="bottom"/>
    </xf>
    <xf borderId="2" fillId="0" fontId="2" numFmtId="0" xfId="0" applyAlignment="1" applyBorder="1" applyFont="1">
      <alignment horizontal="right" vertical="bottom"/>
    </xf>
    <xf borderId="2" fillId="0" fontId="1" numFmtId="0" xfId="0" applyBorder="1" applyFont="1"/>
    <xf borderId="2" fillId="0" fontId="2" numFmtId="0" xfId="0" applyAlignment="1" applyBorder="1" applyFont="1">
      <alignment vertical="bottom"/>
    </xf>
    <xf borderId="2" fillId="3" fontId="1" numFmtId="0" xfId="0" applyBorder="1" applyFont="1"/>
    <xf borderId="2" fillId="3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4" fillId="0" fontId="2" numFmtId="0" xfId="0" applyAlignment="1" applyBorder="1" applyFont="1">
      <alignment horizontal="right" vertical="bottom"/>
    </xf>
    <xf borderId="4" fillId="0" fontId="3" numFmtId="3" xfId="0" applyAlignment="1" applyBorder="1" applyFont="1" applyNumberFormat="1">
      <alignment readingOrder="0" vertical="bottom"/>
    </xf>
    <xf borderId="4" fillId="0" fontId="2" numFmtId="4" xfId="0" applyAlignment="1" applyBorder="1" applyFont="1" applyNumberFormat="1">
      <alignment vertical="bottom"/>
    </xf>
    <xf borderId="4" fillId="9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4" xfId="0" applyAlignment="1" applyFont="1" applyNumberFormat="1">
      <alignment vertical="bottom"/>
    </xf>
    <xf borderId="0" fillId="9" fontId="2" numFmtId="0" xfId="0" applyAlignment="1" applyFont="1">
      <alignment vertical="bottom"/>
    </xf>
    <xf borderId="0" fillId="9" fontId="2" numFmtId="0" xfId="0" applyAlignment="1" applyFont="1">
      <alignment readingOrder="0" vertical="bottom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3" fontId="5" numFmtId="0" xfId="0" applyAlignment="1" applyFont="1">
      <alignment readingOrder="0" shrinkToFit="0" vertical="bottom" wrapText="0"/>
    </xf>
    <xf borderId="0" fillId="3" fontId="5" numFmtId="0" xfId="0" applyAlignment="1" applyFont="1">
      <alignment horizontal="right" readingOrder="0" shrinkToFit="0" vertical="bottom" wrapText="0"/>
    </xf>
    <xf borderId="0" fillId="6" fontId="5" numFmtId="0" xfId="0" applyAlignment="1" applyFont="1">
      <alignment readingOrder="0" shrinkToFit="0" vertical="bottom" wrapText="0"/>
    </xf>
    <xf borderId="0" fillId="6" fontId="5" numFmtId="0" xfId="0" applyAlignment="1" applyFont="1">
      <alignment horizontal="right" readingOrder="0" shrinkToFit="0" vertical="bottom" wrapText="0"/>
    </xf>
    <xf borderId="0" fillId="6" fontId="2" numFmtId="0" xfId="0" applyAlignment="1" applyFont="1">
      <alignment vertical="bottom"/>
    </xf>
    <xf borderId="0" fillId="10" fontId="5" numFmtId="0" xfId="0" applyAlignment="1" applyFill="1" applyFont="1">
      <alignment readingOrder="0" shrinkToFit="0" vertical="bottom" wrapText="0"/>
    </xf>
    <xf borderId="0" fillId="10" fontId="5" numFmtId="0" xfId="0" applyAlignment="1" applyFont="1">
      <alignment horizontal="right" readingOrder="0" shrinkToFit="0" vertical="bottom" wrapText="0"/>
    </xf>
    <xf borderId="0" fillId="10" fontId="2" numFmtId="0" xfId="0" applyAlignment="1" applyFont="1">
      <alignment vertical="bottom"/>
    </xf>
  </cellXfs>
  <cellStyles count="1">
    <cellStyle xfId="0" name="Normal" builtinId="0"/>
  </cellStyles>
  <dxfs count="10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EDEDE"/>
          <bgColor rgb="FFDEDEDE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</dxfs>
  <tableStyles count="4">
    <tableStyle count="4" pivot="0" name="precios damian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precios mark-style">
      <tableStyleElement dxfId="1" type="headerRow"/>
      <tableStyleElement dxfId="2" type="firstRowStripe"/>
      <tableStyleElement dxfId="3" type="secondRowStripe"/>
      <tableStyleElement dxfId="4" type="totalRow"/>
    </tableStyle>
    <tableStyle count="3" pivot="0" name="precios mark-style 2">
      <tableStyleElement dxfId="7" type="headerRow"/>
      <tableStyleElement dxfId="8" type="firstRowStripe"/>
      <tableStyleElement dxfId="9" type="secondRowStripe"/>
    </tableStyle>
    <tableStyle count="3" pivot="0" name="stock mascaras-style">
      <tableStyleElement dxfId="7" type="headerRow"/>
      <tableStyleElement dxfId="8" type="firstRowStripe"/>
      <tableStyleElement dxfId="9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headerRowCount="0" ref="I15" displayName="Table_1" name="Table_1" id="1">
  <tableColumns count="1">
    <tableColumn name="Column1" id="1"/>
  </tableColumns>
  <tableStyleInfo name="precios damian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totalsRowCount="1" headerRowCount="0" ref="I22" displayName="Table_2" name="Table_2" id="2">
  <tableColumns count="1">
    <tableColumn name="Column1" id="1"/>
  </tableColumns>
  <tableStyleInfo name="precios mark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11:Z111" displayName="Table_3" name="Table_3" id="3">
  <tableColumns count="2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</tableColumns>
  <tableStyleInfo name="precios mark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06:P106" displayName="Table_4" name="Table_4" id="4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stock masca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71"/>
    <col customWidth="1" min="2" max="2" width="9.43"/>
    <col customWidth="1" min="3" max="3" width="9.57"/>
    <col customWidth="1" min="4" max="4" width="10.71"/>
    <col customWidth="1" min="5" max="5" width="21.14"/>
    <col customWidth="1" hidden="1" min="6" max="6" width="17.14"/>
    <col customWidth="1" min="7" max="7" width="17.43"/>
    <col customWidth="1" min="8" max="27" width="10.71"/>
  </cols>
  <sheetData>
    <row r="1">
      <c r="E1" s="1"/>
      <c r="F1" s="2" t="s">
        <v>0</v>
      </c>
      <c r="H1" s="2" t="s">
        <v>1</v>
      </c>
      <c r="I1" s="3">
        <v>1430.0</v>
      </c>
    </row>
    <row r="2">
      <c r="E2" s="1"/>
      <c r="J2" s="3" t="s">
        <v>2</v>
      </c>
    </row>
    <row r="3">
      <c r="A3" s="4" t="s">
        <v>3</v>
      </c>
      <c r="B3" s="5" t="s">
        <v>4</v>
      </c>
      <c r="C3" s="5" t="s">
        <v>5</v>
      </c>
      <c r="D3" s="5" t="s">
        <v>6</v>
      </c>
      <c r="E3" s="6" t="s">
        <v>7</v>
      </c>
      <c r="F3" s="5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>
      <c r="A4" s="7" t="s">
        <v>10</v>
      </c>
      <c r="B4" s="8"/>
      <c r="C4" s="8"/>
      <c r="D4" s="7">
        <v>6980.0</v>
      </c>
      <c r="E4" s="9">
        <f t="shared" ref="E4:E25" si="1">D4*1.3+10</f>
        <v>9084</v>
      </c>
      <c r="F4" s="8"/>
      <c r="G4" s="8">
        <f>E4*I1</f>
        <v>12990120</v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8" t="s">
        <v>11</v>
      </c>
      <c r="B5" s="8" t="s">
        <v>12</v>
      </c>
      <c r="C5" s="8" t="s">
        <v>13</v>
      </c>
      <c r="D5" s="7">
        <v>518.0</v>
      </c>
      <c r="E5" s="9">
        <f t="shared" si="1"/>
        <v>683.4</v>
      </c>
      <c r="F5" s="8">
        <f>D5*I1</f>
        <v>740740</v>
      </c>
      <c r="G5" s="8">
        <f>E5*I1</f>
        <v>977262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5" t="s">
        <v>14</v>
      </c>
      <c r="B6" s="5" t="s">
        <v>12</v>
      </c>
      <c r="C6" s="5" t="s">
        <v>15</v>
      </c>
      <c r="D6" s="5" t="s">
        <v>16</v>
      </c>
      <c r="E6" s="9">
        <f t="shared" si="1"/>
        <v>1325.6</v>
      </c>
      <c r="F6" s="5">
        <f>D6*I1</f>
        <v>1447160</v>
      </c>
      <c r="G6" s="5">
        <f>E6*I1</f>
        <v>1895608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>
      <c r="A7" s="4" t="s">
        <v>17</v>
      </c>
      <c r="B7" s="4" t="s">
        <v>18</v>
      </c>
      <c r="C7" s="4" t="s">
        <v>19</v>
      </c>
      <c r="D7" s="4">
        <v>690.0</v>
      </c>
      <c r="E7" s="9">
        <f t="shared" si="1"/>
        <v>907</v>
      </c>
      <c r="F7" s="5"/>
      <c r="G7" s="5">
        <f>E7*I1</f>
        <v>1297010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4" t="s">
        <v>20</v>
      </c>
      <c r="B8" s="4" t="s">
        <v>21</v>
      </c>
      <c r="C8" s="5"/>
      <c r="D8" s="4">
        <v>541.0</v>
      </c>
      <c r="E8" s="9">
        <f t="shared" si="1"/>
        <v>713.3</v>
      </c>
      <c r="F8" s="9">
        <f>E8*1.3+10</f>
        <v>937.29</v>
      </c>
      <c r="G8" s="9">
        <f>E8*I1</f>
        <v>1020019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>
      <c r="A9" s="3" t="s">
        <v>22</v>
      </c>
      <c r="B9" s="3" t="s">
        <v>23</v>
      </c>
      <c r="C9" s="3" t="s">
        <v>24</v>
      </c>
      <c r="D9" s="3">
        <v>575.0</v>
      </c>
      <c r="E9" s="9">
        <f t="shared" si="1"/>
        <v>757.5</v>
      </c>
      <c r="G9" s="2">
        <f>E9*I1</f>
        <v>1083225</v>
      </c>
    </row>
    <row r="10">
      <c r="A10" s="3" t="s">
        <v>25</v>
      </c>
      <c r="B10" s="3" t="s">
        <v>23</v>
      </c>
      <c r="C10" s="3" t="s">
        <v>24</v>
      </c>
      <c r="D10" s="3">
        <v>144.0</v>
      </c>
      <c r="E10" s="9">
        <f t="shared" si="1"/>
        <v>197.2</v>
      </c>
      <c r="G10" s="2">
        <f>E10*I1</f>
        <v>281996</v>
      </c>
    </row>
    <row r="11">
      <c r="A11" s="3" t="s">
        <v>26</v>
      </c>
      <c r="B11" s="2" t="s">
        <v>12</v>
      </c>
      <c r="C11" s="2" t="s">
        <v>15</v>
      </c>
      <c r="D11" s="3">
        <v>334.0</v>
      </c>
      <c r="E11" s="9">
        <f t="shared" si="1"/>
        <v>444.2</v>
      </c>
      <c r="F11" s="2">
        <f>D11*I1</f>
        <v>477620</v>
      </c>
      <c r="G11" s="2">
        <f>E11*I1</f>
        <v>635206</v>
      </c>
    </row>
    <row r="12">
      <c r="A12" s="2" t="s">
        <v>27</v>
      </c>
      <c r="B12" s="2" t="s">
        <v>12</v>
      </c>
      <c r="C12" s="2" t="s">
        <v>15</v>
      </c>
      <c r="D12" s="3">
        <v>230.0</v>
      </c>
      <c r="E12" s="9">
        <f t="shared" si="1"/>
        <v>309</v>
      </c>
      <c r="F12" s="2">
        <f>D12*I1</f>
        <v>328900</v>
      </c>
      <c r="G12" s="2">
        <f>E12*I1</f>
        <v>441870</v>
      </c>
    </row>
    <row r="13">
      <c r="A13" s="10" t="s">
        <v>11</v>
      </c>
      <c r="B13" s="11" t="s">
        <v>12</v>
      </c>
      <c r="C13" s="11" t="s">
        <v>28</v>
      </c>
      <c r="D13" s="12">
        <v>311.0</v>
      </c>
      <c r="E13" s="13">
        <f t="shared" si="1"/>
        <v>414.3</v>
      </c>
      <c r="F13" s="11">
        <f t="shared" ref="F13:F19" si="2">D13*$I$1</f>
        <v>444730</v>
      </c>
      <c r="G13" s="11">
        <f>E13*I1</f>
        <v>592449</v>
      </c>
      <c r="H13" s="12">
        <v>1.0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2" t="s">
        <v>27</v>
      </c>
      <c r="B14" s="2" t="s">
        <v>21</v>
      </c>
      <c r="C14" s="2" t="s">
        <v>29</v>
      </c>
      <c r="D14" s="2" t="s">
        <v>30</v>
      </c>
      <c r="E14" s="9">
        <f t="shared" si="1"/>
        <v>533.25</v>
      </c>
      <c r="F14" s="2">
        <f t="shared" si="2"/>
        <v>575575</v>
      </c>
      <c r="G14" s="2">
        <f>E14*I1</f>
        <v>762547.5</v>
      </c>
    </row>
    <row r="15">
      <c r="A15" s="2" t="s">
        <v>11</v>
      </c>
      <c r="B15" s="2" t="s">
        <v>21</v>
      </c>
      <c r="C15" s="2" t="s">
        <v>29</v>
      </c>
      <c r="D15" s="2" t="s">
        <v>31</v>
      </c>
      <c r="E15" s="9">
        <f t="shared" si="1"/>
        <v>608</v>
      </c>
      <c r="F15" s="2">
        <f t="shared" si="2"/>
        <v>657800</v>
      </c>
      <c r="G15" s="2">
        <f>E15*I1</f>
        <v>869440</v>
      </c>
      <c r="H15" s="3">
        <v>1.0</v>
      </c>
      <c r="I15" s="14"/>
    </row>
    <row r="16">
      <c r="A16" s="2" t="s">
        <v>32</v>
      </c>
      <c r="B16" s="2" t="s">
        <v>12</v>
      </c>
      <c r="C16" s="2" t="s">
        <v>28</v>
      </c>
      <c r="D16" s="2" t="s">
        <v>33</v>
      </c>
      <c r="E16" s="9">
        <f t="shared" si="1"/>
        <v>426</v>
      </c>
      <c r="F16" s="2">
        <f t="shared" si="2"/>
        <v>457600</v>
      </c>
      <c r="G16" s="2">
        <f>E16*I1</f>
        <v>609180</v>
      </c>
      <c r="H16" s="3">
        <v>1.0</v>
      </c>
    </row>
    <row r="17">
      <c r="A17" s="2" t="s">
        <v>32</v>
      </c>
      <c r="B17" s="2" t="s">
        <v>34</v>
      </c>
      <c r="C17" s="2" t="s">
        <v>35</v>
      </c>
      <c r="D17" s="2" t="s">
        <v>33</v>
      </c>
      <c r="E17" s="9">
        <f t="shared" si="1"/>
        <v>426</v>
      </c>
      <c r="F17" s="2">
        <f t="shared" si="2"/>
        <v>457600</v>
      </c>
      <c r="G17" s="2">
        <f>E17*I1</f>
        <v>609180</v>
      </c>
    </row>
    <row r="18">
      <c r="A18" s="2" t="s">
        <v>32</v>
      </c>
      <c r="B18" s="2" t="s">
        <v>21</v>
      </c>
      <c r="C18" s="2" t="s">
        <v>36</v>
      </c>
      <c r="D18" s="3">
        <v>250.0</v>
      </c>
      <c r="E18" s="9">
        <f t="shared" si="1"/>
        <v>335</v>
      </c>
      <c r="F18" s="2">
        <f t="shared" si="2"/>
        <v>357500</v>
      </c>
      <c r="G18" s="2">
        <f>E18*I1</f>
        <v>479050</v>
      </c>
    </row>
    <row r="19">
      <c r="A19" s="2" t="s">
        <v>32</v>
      </c>
      <c r="B19" s="2" t="s">
        <v>21</v>
      </c>
      <c r="C19" s="2" t="s">
        <v>37</v>
      </c>
      <c r="D19" s="3">
        <v>305.0</v>
      </c>
      <c r="E19" s="9">
        <f t="shared" si="1"/>
        <v>406.5</v>
      </c>
      <c r="F19" s="2">
        <f t="shared" si="2"/>
        <v>436150</v>
      </c>
      <c r="G19" s="2">
        <f>E19*I1</f>
        <v>581295</v>
      </c>
      <c r="H19" s="3">
        <v>1.0</v>
      </c>
    </row>
    <row r="20">
      <c r="A20" s="3" t="s">
        <v>38</v>
      </c>
      <c r="B20" s="3" t="s">
        <v>39</v>
      </c>
      <c r="C20" s="3"/>
      <c r="D20" s="3">
        <v>437.0</v>
      </c>
      <c r="E20" s="9">
        <f t="shared" si="1"/>
        <v>578.1</v>
      </c>
      <c r="G20" s="2">
        <f>E20*I1</f>
        <v>826683</v>
      </c>
    </row>
    <row r="21">
      <c r="A21" s="3" t="s">
        <v>40</v>
      </c>
      <c r="B21" s="3" t="s">
        <v>41</v>
      </c>
      <c r="C21" s="3" t="s">
        <v>42</v>
      </c>
      <c r="D21" s="3">
        <v>549.0</v>
      </c>
      <c r="E21" s="9">
        <f t="shared" si="1"/>
        <v>723.7</v>
      </c>
      <c r="G21" s="2">
        <f>E21*I1</f>
        <v>1034891</v>
      </c>
    </row>
    <row r="22">
      <c r="A22" s="3" t="s">
        <v>43</v>
      </c>
      <c r="B22" s="2" t="s">
        <v>44</v>
      </c>
      <c r="C22" s="2">
        <v>10.0</v>
      </c>
      <c r="D22" s="3">
        <v>466.0</v>
      </c>
      <c r="E22" s="9">
        <f t="shared" si="1"/>
        <v>615.8</v>
      </c>
      <c r="F22" s="2">
        <f t="shared" ref="F22:F24" si="3">D22*$I$1</f>
        <v>666380</v>
      </c>
      <c r="G22" s="2">
        <f>E22*I1</f>
        <v>880594</v>
      </c>
    </row>
    <row r="23">
      <c r="A23" s="2" t="s">
        <v>45</v>
      </c>
      <c r="B23" s="2" t="s">
        <v>44</v>
      </c>
      <c r="C23" s="2">
        <v>10.0</v>
      </c>
      <c r="D23" s="2" t="s">
        <v>46</v>
      </c>
      <c r="E23" s="9">
        <f t="shared" si="1"/>
        <v>907</v>
      </c>
      <c r="F23" s="2">
        <f t="shared" si="3"/>
        <v>986700</v>
      </c>
      <c r="G23" s="2">
        <f>E23*I1</f>
        <v>1297010</v>
      </c>
    </row>
    <row r="24">
      <c r="A24" s="2" t="s">
        <v>47</v>
      </c>
      <c r="B24" s="2" t="s">
        <v>44</v>
      </c>
      <c r="C24" s="2">
        <v>10.0</v>
      </c>
      <c r="D24" s="3">
        <v>633.0</v>
      </c>
      <c r="E24" s="9">
        <f t="shared" si="1"/>
        <v>832.9</v>
      </c>
      <c r="F24" s="2">
        <f t="shared" si="3"/>
        <v>905190</v>
      </c>
      <c r="G24" s="2">
        <f>E24*I1</f>
        <v>1191047</v>
      </c>
    </row>
    <row r="25">
      <c r="A25" s="2" t="s">
        <v>48</v>
      </c>
      <c r="B25" s="2" t="s">
        <v>49</v>
      </c>
      <c r="C25" s="2" t="s">
        <v>50</v>
      </c>
      <c r="D25" s="3">
        <v>1070.5</v>
      </c>
      <c r="E25" s="9">
        <f t="shared" si="1"/>
        <v>1401.65</v>
      </c>
      <c r="F25" s="9">
        <f>E25*1.3+10</f>
        <v>1832.145</v>
      </c>
      <c r="G25" s="9">
        <f>E25*I1</f>
        <v>2004359.5</v>
      </c>
    </row>
    <row r="26">
      <c r="A26" s="2" t="s">
        <v>51</v>
      </c>
      <c r="B26" s="2" t="s">
        <v>49</v>
      </c>
      <c r="C26" s="2" t="s">
        <v>50</v>
      </c>
      <c r="D26" s="15" t="s">
        <v>52</v>
      </c>
      <c r="E26" s="16">
        <v>1401.0</v>
      </c>
      <c r="F26" s="17">
        <f t="shared" ref="F26:F30" si="4">D26*$I$1</f>
        <v>-433331470</v>
      </c>
      <c r="G26" s="3">
        <f>E26*I1</f>
        <v>2003430</v>
      </c>
    </row>
    <row r="27">
      <c r="A27" s="2" t="s">
        <v>53</v>
      </c>
      <c r="B27" s="2" t="s">
        <v>23</v>
      </c>
      <c r="C27" s="2" t="s">
        <v>24</v>
      </c>
      <c r="D27" s="2" t="s">
        <v>54</v>
      </c>
      <c r="E27" s="9">
        <f t="shared" ref="E27:E86" si="5">D27*1.3+10</f>
        <v>892.05</v>
      </c>
      <c r="F27" s="2">
        <f t="shared" si="4"/>
        <v>970255</v>
      </c>
      <c r="G27" s="2">
        <f>E27*I1</f>
        <v>1275631.5</v>
      </c>
    </row>
    <row r="28" ht="15.75" customHeight="1">
      <c r="A28" s="2" t="s">
        <v>14</v>
      </c>
      <c r="B28" s="2" t="s">
        <v>21</v>
      </c>
      <c r="C28" s="2" t="s">
        <v>55</v>
      </c>
      <c r="D28" s="2" t="s">
        <v>56</v>
      </c>
      <c r="E28" s="9">
        <f t="shared" si="5"/>
        <v>996.7</v>
      </c>
      <c r="F28" s="2">
        <f t="shared" si="4"/>
        <v>1085370</v>
      </c>
      <c r="G28" s="2">
        <f>E28*I1</f>
        <v>1425281</v>
      </c>
    </row>
    <row r="29" ht="15.75" customHeight="1">
      <c r="A29" s="2" t="s">
        <v>57</v>
      </c>
      <c r="B29" s="2" t="s">
        <v>12</v>
      </c>
      <c r="C29" s="3" t="s">
        <v>13</v>
      </c>
      <c r="D29" s="3">
        <v>690.0</v>
      </c>
      <c r="E29" s="9">
        <f t="shared" si="5"/>
        <v>907</v>
      </c>
      <c r="F29" s="2">
        <f t="shared" si="4"/>
        <v>986700</v>
      </c>
      <c r="G29" s="2">
        <f>E29*I1</f>
        <v>1297010</v>
      </c>
    </row>
    <row r="30" ht="15.75" customHeight="1">
      <c r="A30" s="2" t="s">
        <v>58</v>
      </c>
      <c r="B30" s="2" t="s">
        <v>59</v>
      </c>
      <c r="C30" s="2" t="s">
        <v>60</v>
      </c>
      <c r="D30" s="2" t="s">
        <v>61</v>
      </c>
      <c r="E30" s="9">
        <f t="shared" si="5"/>
        <v>3897</v>
      </c>
      <c r="F30" s="2">
        <f t="shared" si="4"/>
        <v>4275700</v>
      </c>
      <c r="G30" s="2">
        <f>E30*I1</f>
        <v>5572710</v>
      </c>
      <c r="H30" s="3">
        <v>1.0</v>
      </c>
    </row>
    <row r="31" ht="15.75" customHeight="1">
      <c r="A31" s="18" t="s">
        <v>62</v>
      </c>
      <c r="B31" s="3" t="s">
        <v>63</v>
      </c>
      <c r="D31" s="3">
        <v>2300.0</v>
      </c>
      <c r="E31" s="9">
        <f t="shared" si="5"/>
        <v>3000</v>
      </c>
      <c r="G31" s="2">
        <f>E31*I1</f>
        <v>4290000</v>
      </c>
    </row>
    <row r="32" ht="15.75" customHeight="1">
      <c r="A32" s="18" t="s">
        <v>62</v>
      </c>
      <c r="B32" s="3" t="s">
        <v>63</v>
      </c>
      <c r="D32" s="3">
        <v>2875.0</v>
      </c>
      <c r="E32" s="9">
        <f t="shared" si="5"/>
        <v>3747.5</v>
      </c>
      <c r="G32" s="2">
        <f>E32*I1</f>
        <v>5358925</v>
      </c>
    </row>
    <row r="33" ht="15.75" customHeight="1">
      <c r="A33" s="3" t="s">
        <v>64</v>
      </c>
      <c r="B33" s="2" t="s">
        <v>21</v>
      </c>
      <c r="C33" s="2" t="s">
        <v>65</v>
      </c>
      <c r="D33" s="2" t="s">
        <v>66</v>
      </c>
      <c r="E33" s="9">
        <f t="shared" si="5"/>
        <v>42.5</v>
      </c>
      <c r="F33" s="2">
        <f t="shared" ref="F33:F35" si="6">D33*$I$1</f>
        <v>35750</v>
      </c>
      <c r="G33" s="2">
        <f>E33*I1</f>
        <v>60775</v>
      </c>
    </row>
    <row r="34" ht="15.75" customHeight="1">
      <c r="A34" s="3" t="s">
        <v>67</v>
      </c>
      <c r="B34" s="2" t="s">
        <v>21</v>
      </c>
      <c r="C34" s="2" t="s">
        <v>65</v>
      </c>
      <c r="D34" s="2" t="s">
        <v>66</v>
      </c>
      <c r="E34" s="9">
        <f t="shared" si="5"/>
        <v>42.5</v>
      </c>
      <c r="F34" s="2">
        <f t="shared" si="6"/>
        <v>35750</v>
      </c>
      <c r="G34" s="2">
        <f>E34*I1</f>
        <v>60775</v>
      </c>
    </row>
    <row r="35" ht="15.75" customHeight="1">
      <c r="A35" s="3" t="s">
        <v>68</v>
      </c>
      <c r="B35" s="2" t="s">
        <v>21</v>
      </c>
      <c r="C35" s="2" t="s">
        <v>65</v>
      </c>
      <c r="D35" s="2" t="s">
        <v>66</v>
      </c>
      <c r="E35" s="9">
        <f t="shared" si="5"/>
        <v>42.5</v>
      </c>
      <c r="F35" s="2">
        <f t="shared" si="6"/>
        <v>35750</v>
      </c>
      <c r="G35" s="2">
        <f>E35*I1</f>
        <v>60775</v>
      </c>
    </row>
    <row r="36" ht="15.75" customHeight="1">
      <c r="A36" s="3" t="s">
        <v>69</v>
      </c>
      <c r="B36" s="3" t="s">
        <v>21</v>
      </c>
      <c r="C36" s="3" t="s">
        <v>70</v>
      </c>
      <c r="D36" s="3">
        <v>32.0</v>
      </c>
      <c r="E36" s="9">
        <f t="shared" si="5"/>
        <v>51.6</v>
      </c>
      <c r="G36" s="2">
        <f>E36*I1</f>
        <v>73788</v>
      </c>
    </row>
    <row r="37" ht="15.75" customHeight="1">
      <c r="A37" s="2" t="s">
        <v>71</v>
      </c>
      <c r="B37" s="2" t="s">
        <v>21</v>
      </c>
      <c r="C37" s="2" t="s">
        <v>72</v>
      </c>
      <c r="D37" s="2" t="s">
        <v>73</v>
      </c>
      <c r="E37" s="9">
        <f t="shared" si="5"/>
        <v>46.4</v>
      </c>
      <c r="F37" s="2">
        <f t="shared" ref="F37:F58" si="7">D37*$I$1</f>
        <v>40040</v>
      </c>
      <c r="G37" s="2">
        <f>E37*I1</f>
        <v>66352</v>
      </c>
    </row>
    <row r="38" ht="15.75" customHeight="1">
      <c r="A38" s="2" t="s">
        <v>74</v>
      </c>
      <c r="B38" s="2" t="s">
        <v>21</v>
      </c>
      <c r="C38" s="2" t="s">
        <v>72</v>
      </c>
      <c r="D38" s="2" t="s">
        <v>73</v>
      </c>
      <c r="E38" s="9">
        <f t="shared" si="5"/>
        <v>46.4</v>
      </c>
      <c r="F38" s="2">
        <f t="shared" si="7"/>
        <v>40040</v>
      </c>
      <c r="G38" s="2">
        <f>E38*I1</f>
        <v>66352</v>
      </c>
    </row>
    <row r="39" ht="15.75" customHeight="1">
      <c r="A39" s="2" t="s">
        <v>75</v>
      </c>
      <c r="B39" s="2" t="s">
        <v>21</v>
      </c>
      <c r="C39" s="2" t="s">
        <v>72</v>
      </c>
      <c r="D39" s="2" t="s">
        <v>73</v>
      </c>
      <c r="E39" s="9">
        <f t="shared" si="5"/>
        <v>46.4</v>
      </c>
      <c r="F39" s="2">
        <f t="shared" si="7"/>
        <v>40040</v>
      </c>
      <c r="G39" s="2">
        <f>E39*I1</f>
        <v>66352</v>
      </c>
    </row>
    <row r="40" ht="15.75" customHeight="1">
      <c r="A40" s="2" t="s">
        <v>71</v>
      </c>
      <c r="B40" s="2" t="s">
        <v>21</v>
      </c>
      <c r="C40" s="2" t="s">
        <v>76</v>
      </c>
      <c r="D40" s="2" t="s">
        <v>77</v>
      </c>
      <c r="E40" s="9">
        <f t="shared" si="5"/>
        <v>51.6</v>
      </c>
      <c r="F40" s="2">
        <f t="shared" si="7"/>
        <v>45760</v>
      </c>
      <c r="G40" s="2">
        <f>E40*I1</f>
        <v>73788</v>
      </c>
    </row>
    <row r="41" ht="15.75" customHeight="1">
      <c r="A41" s="2" t="s">
        <v>74</v>
      </c>
      <c r="B41" s="2" t="s">
        <v>21</v>
      </c>
      <c r="C41" s="2" t="s">
        <v>76</v>
      </c>
      <c r="D41" s="2" t="s">
        <v>77</v>
      </c>
      <c r="E41" s="9">
        <f t="shared" si="5"/>
        <v>51.6</v>
      </c>
      <c r="F41" s="2">
        <f t="shared" si="7"/>
        <v>45760</v>
      </c>
      <c r="G41" s="2">
        <f>E41*I1</f>
        <v>73788</v>
      </c>
    </row>
    <row r="42" ht="15.75" customHeight="1">
      <c r="A42" s="2" t="s">
        <v>75</v>
      </c>
      <c r="B42" s="2" t="s">
        <v>21</v>
      </c>
      <c r="C42" s="2" t="s">
        <v>76</v>
      </c>
      <c r="D42" s="2" t="s">
        <v>77</v>
      </c>
      <c r="E42" s="9">
        <f t="shared" si="5"/>
        <v>51.6</v>
      </c>
      <c r="F42" s="2">
        <f t="shared" si="7"/>
        <v>45760</v>
      </c>
      <c r="G42" s="2">
        <f>E42*I1</f>
        <v>73788</v>
      </c>
    </row>
    <row r="43" ht="15.75" customHeight="1">
      <c r="A43" s="2" t="s">
        <v>78</v>
      </c>
      <c r="B43" s="2" t="s">
        <v>21</v>
      </c>
      <c r="C43" s="2" t="s">
        <v>79</v>
      </c>
      <c r="D43" s="3">
        <v>45.0</v>
      </c>
      <c r="E43" s="9">
        <f t="shared" si="5"/>
        <v>68.5</v>
      </c>
      <c r="F43" s="2">
        <f t="shared" si="7"/>
        <v>64350</v>
      </c>
      <c r="G43" s="2">
        <f>E43*I1</f>
        <v>97955</v>
      </c>
    </row>
    <row r="44" ht="15.75" customHeight="1">
      <c r="A44" s="2" t="s">
        <v>80</v>
      </c>
      <c r="B44" s="2" t="s">
        <v>21</v>
      </c>
      <c r="C44" s="2" t="s">
        <v>79</v>
      </c>
      <c r="D44" s="3">
        <v>24.0</v>
      </c>
      <c r="E44" s="9">
        <f t="shared" si="5"/>
        <v>41.2</v>
      </c>
      <c r="F44" s="2">
        <f t="shared" si="7"/>
        <v>34320</v>
      </c>
      <c r="G44" s="2">
        <f>E44*I1</f>
        <v>58916</v>
      </c>
    </row>
    <row r="45" ht="15.75" customHeight="1">
      <c r="A45" s="2" t="s">
        <v>81</v>
      </c>
      <c r="B45" s="2" t="s">
        <v>21</v>
      </c>
      <c r="C45" s="2" t="s">
        <v>79</v>
      </c>
      <c r="D45" s="3">
        <v>24.0</v>
      </c>
      <c r="E45" s="9">
        <f t="shared" si="5"/>
        <v>41.2</v>
      </c>
      <c r="F45" s="2">
        <f t="shared" si="7"/>
        <v>34320</v>
      </c>
      <c r="G45" s="2">
        <f>E45*I1</f>
        <v>58916</v>
      </c>
    </row>
    <row r="46" ht="15.75" customHeight="1">
      <c r="A46" s="2" t="s">
        <v>78</v>
      </c>
      <c r="B46" s="2" t="s">
        <v>12</v>
      </c>
      <c r="C46" s="2" t="s">
        <v>82</v>
      </c>
      <c r="D46" s="2" t="s">
        <v>83</v>
      </c>
      <c r="E46" s="9">
        <f t="shared" si="5"/>
        <v>89.3</v>
      </c>
      <c r="F46" s="2">
        <f t="shared" si="7"/>
        <v>87230</v>
      </c>
      <c r="G46" s="2">
        <f>E46*I1</f>
        <v>127699</v>
      </c>
    </row>
    <row r="47" ht="15.75" customHeight="1">
      <c r="A47" s="3" t="s">
        <v>84</v>
      </c>
      <c r="B47" s="2" t="s">
        <v>23</v>
      </c>
      <c r="C47" s="2" t="s">
        <v>85</v>
      </c>
      <c r="D47" s="3">
        <v>110.0</v>
      </c>
      <c r="E47" s="9">
        <f t="shared" si="5"/>
        <v>153</v>
      </c>
      <c r="F47" s="2">
        <f t="shared" si="7"/>
        <v>157300</v>
      </c>
      <c r="G47" s="2">
        <f>E47*I1</f>
        <v>218790</v>
      </c>
    </row>
    <row r="48" ht="15.75" customHeight="1">
      <c r="A48" s="2" t="s">
        <v>86</v>
      </c>
      <c r="B48" s="2" t="s">
        <v>23</v>
      </c>
      <c r="C48" s="2" t="s">
        <v>85</v>
      </c>
      <c r="D48" s="3">
        <v>113.0</v>
      </c>
      <c r="E48" s="9">
        <f t="shared" si="5"/>
        <v>156.9</v>
      </c>
      <c r="F48" s="2">
        <f t="shared" si="7"/>
        <v>161590</v>
      </c>
      <c r="G48" s="2">
        <f>E48*I1</f>
        <v>224367</v>
      </c>
    </row>
    <row r="49" ht="15.75" customHeight="1">
      <c r="A49" s="2" t="s">
        <v>87</v>
      </c>
      <c r="B49" s="2" t="s">
        <v>23</v>
      </c>
      <c r="C49" s="2" t="s">
        <v>85</v>
      </c>
      <c r="D49" s="3">
        <v>113.0</v>
      </c>
      <c r="E49" s="9">
        <f t="shared" si="5"/>
        <v>156.9</v>
      </c>
      <c r="F49" s="2">
        <f t="shared" si="7"/>
        <v>161590</v>
      </c>
      <c r="G49" s="2">
        <f>E49*I1</f>
        <v>224367</v>
      </c>
    </row>
    <row r="50" ht="15.75" customHeight="1">
      <c r="A50" s="2" t="s">
        <v>88</v>
      </c>
      <c r="B50" s="2" t="s">
        <v>23</v>
      </c>
      <c r="C50" s="2" t="s">
        <v>85</v>
      </c>
      <c r="D50" s="3">
        <v>113.0</v>
      </c>
      <c r="E50" s="9">
        <f t="shared" si="5"/>
        <v>156.9</v>
      </c>
      <c r="F50" s="2">
        <f t="shared" si="7"/>
        <v>161590</v>
      </c>
      <c r="G50" s="2">
        <f>E50*I1</f>
        <v>224367</v>
      </c>
    </row>
    <row r="51" ht="15.75" customHeight="1">
      <c r="A51" s="2" t="s">
        <v>89</v>
      </c>
      <c r="B51" s="2" t="s">
        <v>23</v>
      </c>
      <c r="C51" s="2" t="s">
        <v>85</v>
      </c>
      <c r="D51" s="2" t="s">
        <v>90</v>
      </c>
      <c r="E51" s="9">
        <f t="shared" si="5"/>
        <v>219.3</v>
      </c>
      <c r="F51" s="2">
        <f t="shared" si="7"/>
        <v>230230</v>
      </c>
      <c r="G51" s="2">
        <f>E51*I1</f>
        <v>313599</v>
      </c>
      <c r="H51" s="3">
        <v>1.0</v>
      </c>
    </row>
    <row r="52" ht="15.75" customHeight="1">
      <c r="A52" s="2" t="s">
        <v>91</v>
      </c>
      <c r="B52" s="2" t="s">
        <v>92</v>
      </c>
      <c r="C52" s="2" t="s">
        <v>23</v>
      </c>
      <c r="D52" s="2" t="s">
        <v>93</v>
      </c>
      <c r="E52" s="9">
        <f t="shared" si="5"/>
        <v>77.6</v>
      </c>
      <c r="F52" s="2">
        <f t="shared" si="7"/>
        <v>74360</v>
      </c>
      <c r="G52" s="2">
        <f>E52*I1</f>
        <v>110968</v>
      </c>
    </row>
    <row r="53" ht="15.75" customHeight="1">
      <c r="A53" s="2" t="s">
        <v>94</v>
      </c>
      <c r="B53" s="2" t="s">
        <v>21</v>
      </c>
      <c r="C53" s="2" t="s">
        <v>70</v>
      </c>
      <c r="D53" s="2" t="s">
        <v>95</v>
      </c>
      <c r="E53" s="9">
        <f t="shared" si="5"/>
        <v>50.365</v>
      </c>
      <c r="F53" s="2">
        <f t="shared" si="7"/>
        <v>44401.5</v>
      </c>
      <c r="G53" s="2">
        <f>E53*I1</f>
        <v>72021.95</v>
      </c>
    </row>
    <row r="54" ht="15.75" customHeight="1">
      <c r="A54" s="2" t="s">
        <v>96</v>
      </c>
      <c r="B54" s="2" t="s">
        <v>21</v>
      </c>
      <c r="C54" s="2" t="s">
        <v>70</v>
      </c>
      <c r="D54" s="2" t="s">
        <v>95</v>
      </c>
      <c r="E54" s="9">
        <f t="shared" si="5"/>
        <v>50.365</v>
      </c>
      <c r="F54" s="2">
        <f t="shared" si="7"/>
        <v>44401.5</v>
      </c>
      <c r="G54" s="2">
        <f>E54*I1</f>
        <v>72021.95</v>
      </c>
    </row>
    <row r="55" ht="15.75" customHeight="1">
      <c r="A55" s="2" t="s">
        <v>97</v>
      </c>
      <c r="B55" s="2" t="s">
        <v>21</v>
      </c>
      <c r="C55" s="2" t="s">
        <v>70</v>
      </c>
      <c r="D55" s="2" t="s">
        <v>95</v>
      </c>
      <c r="E55" s="9">
        <f t="shared" si="5"/>
        <v>50.365</v>
      </c>
      <c r="F55" s="2">
        <f t="shared" si="7"/>
        <v>44401.5</v>
      </c>
      <c r="G55" s="2">
        <f>E55*I1</f>
        <v>72021.95</v>
      </c>
    </row>
    <row r="56" ht="15.75" customHeight="1">
      <c r="A56" s="2" t="s">
        <v>71</v>
      </c>
      <c r="B56" s="2" t="s">
        <v>12</v>
      </c>
      <c r="C56" s="2" t="s">
        <v>98</v>
      </c>
      <c r="D56" s="3">
        <v>28.0</v>
      </c>
      <c r="E56" s="9">
        <f t="shared" si="5"/>
        <v>46.4</v>
      </c>
      <c r="F56" s="2">
        <f t="shared" si="7"/>
        <v>40040</v>
      </c>
      <c r="G56" s="2">
        <f>E56*I1</f>
        <v>66352</v>
      </c>
    </row>
    <row r="57" ht="15.75" customHeight="1">
      <c r="A57" s="2" t="s">
        <v>74</v>
      </c>
      <c r="B57" s="2" t="s">
        <v>12</v>
      </c>
      <c r="C57" s="2" t="s">
        <v>98</v>
      </c>
      <c r="D57" s="3">
        <v>28.0</v>
      </c>
      <c r="E57" s="9">
        <f t="shared" si="5"/>
        <v>46.4</v>
      </c>
      <c r="F57" s="2">
        <f t="shared" si="7"/>
        <v>40040</v>
      </c>
      <c r="G57" s="2">
        <f>E57*I1</f>
        <v>66352</v>
      </c>
    </row>
    <row r="58" ht="15.75" customHeight="1">
      <c r="A58" s="2" t="s">
        <v>75</v>
      </c>
      <c r="B58" s="2" t="s">
        <v>12</v>
      </c>
      <c r="C58" s="2" t="s">
        <v>98</v>
      </c>
      <c r="D58" s="3">
        <v>28.0</v>
      </c>
      <c r="E58" s="9">
        <f t="shared" si="5"/>
        <v>46.4</v>
      </c>
      <c r="F58" s="2">
        <f t="shared" si="7"/>
        <v>40040</v>
      </c>
      <c r="G58" s="2">
        <f>F58*1.3</f>
        <v>52052</v>
      </c>
    </row>
    <row r="59" ht="15.75" customHeight="1">
      <c r="A59" s="3" t="s">
        <v>99</v>
      </c>
      <c r="B59" s="3" t="s">
        <v>12</v>
      </c>
      <c r="C59" s="3" t="s">
        <v>100</v>
      </c>
      <c r="D59" s="3">
        <v>31.0</v>
      </c>
      <c r="E59" s="9">
        <f t="shared" si="5"/>
        <v>50.3</v>
      </c>
      <c r="G59" s="2">
        <f>E59*I1</f>
        <v>71929</v>
      </c>
    </row>
    <row r="60" ht="15.75" customHeight="1">
      <c r="A60" s="2" t="s">
        <v>94</v>
      </c>
      <c r="B60" s="2" t="s">
        <v>12</v>
      </c>
      <c r="C60" s="2" t="s">
        <v>101</v>
      </c>
      <c r="D60" s="2" t="s">
        <v>102</v>
      </c>
      <c r="E60" s="9">
        <f t="shared" si="5"/>
        <v>45.88</v>
      </c>
      <c r="F60" s="2">
        <f t="shared" ref="F60:F64" si="8">D60*$I$1</f>
        <v>39468</v>
      </c>
      <c r="G60" s="2">
        <f t="shared" ref="G60:G64" si="9">F60*1.3</f>
        <v>51308.4</v>
      </c>
    </row>
    <row r="61" ht="15.75" customHeight="1">
      <c r="A61" s="2" t="s">
        <v>96</v>
      </c>
      <c r="B61" s="2" t="s">
        <v>12</v>
      </c>
      <c r="C61" s="2" t="s">
        <v>101</v>
      </c>
      <c r="D61" s="2" t="s">
        <v>102</v>
      </c>
      <c r="E61" s="9">
        <f t="shared" si="5"/>
        <v>45.88</v>
      </c>
      <c r="F61" s="2">
        <f t="shared" si="8"/>
        <v>39468</v>
      </c>
      <c r="G61" s="2">
        <f t="shared" si="9"/>
        <v>51308.4</v>
      </c>
    </row>
    <row r="62" ht="15.75" customHeight="1">
      <c r="A62" s="2" t="s">
        <v>97</v>
      </c>
      <c r="B62" s="2" t="s">
        <v>12</v>
      </c>
      <c r="C62" s="2" t="s">
        <v>101</v>
      </c>
      <c r="D62" s="2" t="s">
        <v>102</v>
      </c>
      <c r="E62" s="9">
        <f t="shared" si="5"/>
        <v>45.88</v>
      </c>
      <c r="F62" s="2">
        <f t="shared" si="8"/>
        <v>39468</v>
      </c>
      <c r="G62" s="2">
        <f t="shared" si="9"/>
        <v>51308.4</v>
      </c>
    </row>
    <row r="63" ht="15.75" customHeight="1">
      <c r="A63" s="2" t="s">
        <v>64</v>
      </c>
      <c r="B63" s="2" t="s">
        <v>12</v>
      </c>
      <c r="C63" s="2" t="s">
        <v>103</v>
      </c>
      <c r="D63" s="2" t="s">
        <v>95</v>
      </c>
      <c r="E63" s="9">
        <f t="shared" si="5"/>
        <v>50.365</v>
      </c>
      <c r="F63" s="2">
        <f t="shared" si="8"/>
        <v>44401.5</v>
      </c>
      <c r="G63" s="2">
        <f t="shared" si="9"/>
        <v>57721.95</v>
      </c>
    </row>
    <row r="64" ht="15.75" customHeight="1">
      <c r="A64" s="2" t="s">
        <v>67</v>
      </c>
      <c r="B64" s="2" t="s">
        <v>12</v>
      </c>
      <c r="C64" s="2" t="s">
        <v>103</v>
      </c>
      <c r="D64" s="3">
        <v>23.5</v>
      </c>
      <c r="E64" s="9">
        <f t="shared" si="5"/>
        <v>40.55</v>
      </c>
      <c r="F64" s="2">
        <f t="shared" si="8"/>
        <v>33605</v>
      </c>
      <c r="G64" s="2">
        <f t="shared" si="9"/>
        <v>43686.5</v>
      </c>
    </row>
    <row r="65" ht="15.75" customHeight="1">
      <c r="A65" s="3" t="s">
        <v>104</v>
      </c>
      <c r="B65" s="3" t="s">
        <v>18</v>
      </c>
      <c r="C65" s="3" t="s">
        <v>105</v>
      </c>
      <c r="D65" s="3">
        <v>20.0</v>
      </c>
      <c r="E65" s="9">
        <f t="shared" si="5"/>
        <v>36</v>
      </c>
      <c r="G65" s="2">
        <f>E65*I1</f>
        <v>51480</v>
      </c>
    </row>
    <row r="66" ht="15.75" customHeight="1">
      <c r="A66" s="2" t="s">
        <v>25</v>
      </c>
      <c r="B66" s="2" t="s">
        <v>23</v>
      </c>
      <c r="C66" s="2" t="s">
        <v>24</v>
      </c>
      <c r="D66" s="2" t="s">
        <v>106</v>
      </c>
      <c r="E66" s="9">
        <f t="shared" si="5"/>
        <v>196.875</v>
      </c>
      <c r="F66" s="2">
        <f t="shared" ref="F66:F76" si="10">D66*$I$1</f>
        <v>205562.5</v>
      </c>
      <c r="G66" s="2">
        <f>E66*I1</f>
        <v>281531.25</v>
      </c>
    </row>
    <row r="67" ht="15.75" customHeight="1">
      <c r="A67" s="2" t="s">
        <v>25</v>
      </c>
      <c r="B67" s="2" t="s">
        <v>12</v>
      </c>
      <c r="C67" s="2" t="s">
        <v>15</v>
      </c>
      <c r="D67" s="2" t="s">
        <v>107</v>
      </c>
      <c r="E67" s="9">
        <f t="shared" si="5"/>
        <v>144.55</v>
      </c>
      <c r="F67" s="2">
        <f t="shared" si="10"/>
        <v>148005</v>
      </c>
      <c r="G67" s="2">
        <f>E67*I1</f>
        <v>206706.5</v>
      </c>
    </row>
    <row r="68" ht="15.75" customHeight="1">
      <c r="A68" s="2" t="s">
        <v>108</v>
      </c>
      <c r="B68" s="2" t="s">
        <v>12</v>
      </c>
      <c r="C68" s="2" t="s">
        <v>15</v>
      </c>
      <c r="D68" s="2" t="s">
        <v>109</v>
      </c>
      <c r="E68" s="9">
        <f t="shared" si="5"/>
        <v>77.275</v>
      </c>
      <c r="F68" s="2">
        <f t="shared" si="10"/>
        <v>74002.5</v>
      </c>
      <c r="G68" s="2">
        <f>E68*I1</f>
        <v>110503.25</v>
      </c>
    </row>
    <row r="69" ht="15.75" customHeight="1">
      <c r="A69" s="2">
        <v>54.0</v>
      </c>
      <c r="B69" s="2" t="s">
        <v>110</v>
      </c>
      <c r="C69" s="2" t="s">
        <v>111</v>
      </c>
      <c r="D69" s="2">
        <v>13.8</v>
      </c>
      <c r="E69" s="9">
        <f t="shared" si="5"/>
        <v>27.94</v>
      </c>
      <c r="F69" s="2">
        <f t="shared" si="10"/>
        <v>19734</v>
      </c>
      <c r="G69" s="2">
        <f>E69*I1</f>
        <v>39954.2</v>
      </c>
    </row>
    <row r="70" ht="15.75" customHeight="1">
      <c r="A70" s="2" t="s">
        <v>112</v>
      </c>
      <c r="B70" s="2" t="s">
        <v>12</v>
      </c>
      <c r="C70" s="2" t="s">
        <v>113</v>
      </c>
      <c r="D70" s="3">
        <v>38.0</v>
      </c>
      <c r="E70" s="9">
        <f t="shared" si="5"/>
        <v>59.4</v>
      </c>
      <c r="F70" s="2">
        <f t="shared" si="10"/>
        <v>54340</v>
      </c>
      <c r="G70" s="2">
        <f>E70*I1</f>
        <v>84942</v>
      </c>
    </row>
    <row r="71" ht="15.75" customHeight="1">
      <c r="A71" s="2" t="s">
        <v>114</v>
      </c>
      <c r="B71" s="2" t="s">
        <v>12</v>
      </c>
      <c r="C71" s="2" t="s">
        <v>113</v>
      </c>
      <c r="D71" s="3">
        <v>38.0</v>
      </c>
      <c r="E71" s="9">
        <f t="shared" si="5"/>
        <v>59.4</v>
      </c>
      <c r="F71" s="2">
        <f t="shared" si="10"/>
        <v>54340</v>
      </c>
      <c r="G71" s="2">
        <f>E71*I1</f>
        <v>84942</v>
      </c>
      <c r="H71" s="3">
        <v>1.0</v>
      </c>
    </row>
    <row r="72" ht="15.75" customHeight="1">
      <c r="A72" s="2" t="s">
        <v>115</v>
      </c>
      <c r="B72" s="2" t="s">
        <v>12</v>
      </c>
      <c r="C72" s="2" t="s">
        <v>113</v>
      </c>
      <c r="D72" s="3">
        <v>38.0</v>
      </c>
      <c r="E72" s="9">
        <f t="shared" si="5"/>
        <v>59.4</v>
      </c>
      <c r="F72" s="2">
        <f t="shared" si="10"/>
        <v>54340</v>
      </c>
      <c r="G72" s="2">
        <f>E72*I1</f>
        <v>84942</v>
      </c>
    </row>
    <row r="73" ht="15.75" customHeight="1">
      <c r="A73" s="2" t="s">
        <v>116</v>
      </c>
      <c r="B73" s="2" t="s">
        <v>12</v>
      </c>
      <c r="C73" s="2" t="s">
        <v>113</v>
      </c>
      <c r="D73" s="3">
        <v>38.0</v>
      </c>
      <c r="E73" s="9">
        <f t="shared" si="5"/>
        <v>59.4</v>
      </c>
      <c r="F73" s="2">
        <f t="shared" si="10"/>
        <v>54340</v>
      </c>
      <c r="G73" s="2">
        <f>E72*I1</f>
        <v>84942</v>
      </c>
    </row>
    <row r="74" ht="15.75" customHeight="1">
      <c r="A74" s="3" t="s">
        <v>117</v>
      </c>
      <c r="B74" s="2" t="s">
        <v>12</v>
      </c>
      <c r="C74" s="2" t="s">
        <v>103</v>
      </c>
      <c r="D74" s="3">
        <v>24.0</v>
      </c>
      <c r="E74" s="9">
        <f t="shared" si="5"/>
        <v>41.2</v>
      </c>
      <c r="F74" s="2">
        <f t="shared" si="10"/>
        <v>34320</v>
      </c>
      <c r="G74" s="2">
        <f>E74*I1</f>
        <v>58916</v>
      </c>
    </row>
    <row r="75" ht="15.75" customHeight="1">
      <c r="A75" s="2" t="s">
        <v>118</v>
      </c>
      <c r="B75" s="2" t="s">
        <v>12</v>
      </c>
      <c r="C75" s="2" t="s">
        <v>119</v>
      </c>
      <c r="D75" s="3">
        <v>32.0</v>
      </c>
      <c r="E75" s="9">
        <f t="shared" si="5"/>
        <v>51.6</v>
      </c>
      <c r="F75" s="2">
        <f t="shared" si="10"/>
        <v>45760</v>
      </c>
      <c r="G75" s="2">
        <f>E75*I1</f>
        <v>73788</v>
      </c>
      <c r="H75" s="3">
        <v>1.0</v>
      </c>
    </row>
    <row r="76" ht="15.75" customHeight="1">
      <c r="A76" s="2" t="s">
        <v>120</v>
      </c>
      <c r="B76" s="2" t="s">
        <v>12</v>
      </c>
      <c r="C76" s="2" t="s">
        <v>119</v>
      </c>
      <c r="D76" s="3">
        <v>32.0</v>
      </c>
      <c r="E76" s="9">
        <f t="shared" si="5"/>
        <v>51.6</v>
      </c>
      <c r="F76" s="2">
        <f t="shared" si="10"/>
        <v>45760</v>
      </c>
      <c r="G76" s="2">
        <f>E76*I1</f>
        <v>73788</v>
      </c>
    </row>
    <row r="77" ht="15.75" customHeight="1">
      <c r="A77" s="3" t="s">
        <v>121</v>
      </c>
      <c r="B77" s="3" t="s">
        <v>18</v>
      </c>
      <c r="C77" s="3" t="s">
        <v>122</v>
      </c>
      <c r="D77" s="3">
        <v>96.0</v>
      </c>
      <c r="E77" s="9">
        <f t="shared" si="5"/>
        <v>134.8</v>
      </c>
      <c r="G77" s="2">
        <f>E77*I1</f>
        <v>192764</v>
      </c>
    </row>
    <row r="78" ht="15.75" customHeight="1">
      <c r="A78" s="2" t="s">
        <v>123</v>
      </c>
      <c r="B78" s="2" t="s">
        <v>12</v>
      </c>
      <c r="C78" s="2" t="s">
        <v>119</v>
      </c>
      <c r="D78" s="3">
        <v>32.0</v>
      </c>
      <c r="E78" s="9">
        <f t="shared" si="5"/>
        <v>51.6</v>
      </c>
      <c r="F78" s="2">
        <f t="shared" ref="F78:F86" si="11">D78*$I$1</f>
        <v>45760</v>
      </c>
      <c r="G78" s="2">
        <f>E78*I1</f>
        <v>73788</v>
      </c>
    </row>
    <row r="79" ht="15.75" customHeight="1">
      <c r="A79" s="2" t="s">
        <v>124</v>
      </c>
      <c r="B79" s="2" t="s">
        <v>23</v>
      </c>
      <c r="C79" s="2" t="s">
        <v>125</v>
      </c>
      <c r="D79" s="2" t="s">
        <v>126</v>
      </c>
      <c r="E79" s="9">
        <f t="shared" si="5"/>
        <v>159.5</v>
      </c>
      <c r="F79" s="2">
        <f t="shared" si="11"/>
        <v>164450</v>
      </c>
      <c r="G79" s="2">
        <f>E79*I1</f>
        <v>228085</v>
      </c>
    </row>
    <row r="80" ht="15.75" customHeight="1">
      <c r="A80" s="2" t="s">
        <v>74</v>
      </c>
      <c r="B80" s="2" t="s">
        <v>23</v>
      </c>
      <c r="C80" s="2" t="s">
        <v>125</v>
      </c>
      <c r="D80" s="2" t="s">
        <v>127</v>
      </c>
      <c r="E80" s="9">
        <f t="shared" si="5"/>
        <v>150.53</v>
      </c>
      <c r="F80" s="2">
        <f t="shared" si="11"/>
        <v>154583</v>
      </c>
      <c r="G80" s="2">
        <f>E80*I1</f>
        <v>215257.9</v>
      </c>
    </row>
    <row r="81" ht="15.75" customHeight="1">
      <c r="A81" s="2" t="s">
        <v>112</v>
      </c>
      <c r="B81" s="2" t="s">
        <v>111</v>
      </c>
      <c r="C81" s="2" t="s">
        <v>128</v>
      </c>
      <c r="D81" s="2" t="s">
        <v>129</v>
      </c>
      <c r="E81" s="9">
        <f t="shared" si="5"/>
        <v>105.68</v>
      </c>
      <c r="F81" s="2">
        <f t="shared" si="11"/>
        <v>105248</v>
      </c>
      <c r="G81" s="2">
        <f>E81*I1</f>
        <v>151122.4</v>
      </c>
    </row>
    <row r="82" ht="15.75" customHeight="1">
      <c r="A82" s="2" t="s">
        <v>114</v>
      </c>
      <c r="B82" s="2" t="s">
        <v>111</v>
      </c>
      <c r="C82" s="2" t="s">
        <v>128</v>
      </c>
      <c r="D82" s="2" t="s">
        <v>129</v>
      </c>
      <c r="E82" s="9">
        <f t="shared" si="5"/>
        <v>105.68</v>
      </c>
      <c r="F82" s="2">
        <f t="shared" si="11"/>
        <v>105248</v>
      </c>
      <c r="G82" s="2">
        <f>E82*I1</f>
        <v>151122.4</v>
      </c>
    </row>
    <row r="83" ht="15.75" customHeight="1">
      <c r="A83" s="2" t="s">
        <v>115</v>
      </c>
      <c r="B83" s="2" t="s">
        <v>111</v>
      </c>
      <c r="C83" s="2" t="s">
        <v>128</v>
      </c>
      <c r="D83" s="2" t="s">
        <v>129</v>
      </c>
      <c r="E83" s="9">
        <f t="shared" si="5"/>
        <v>105.68</v>
      </c>
      <c r="F83" s="2">
        <f t="shared" si="11"/>
        <v>105248</v>
      </c>
      <c r="G83" s="2">
        <f>E83*I1</f>
        <v>151122.4</v>
      </c>
    </row>
    <row r="84" ht="15.75" customHeight="1">
      <c r="A84" s="2" t="s">
        <v>118</v>
      </c>
      <c r="B84" s="2" t="s">
        <v>111</v>
      </c>
      <c r="C84" s="2" t="s">
        <v>130</v>
      </c>
      <c r="D84" s="2" t="s">
        <v>131</v>
      </c>
      <c r="E84" s="9">
        <f t="shared" si="5"/>
        <v>189.4</v>
      </c>
      <c r="F84" s="2">
        <f t="shared" si="11"/>
        <v>197340</v>
      </c>
      <c r="G84" s="2">
        <f>E84*I1</f>
        <v>270842</v>
      </c>
    </row>
    <row r="85" ht="15.75" customHeight="1">
      <c r="A85" s="2" t="s">
        <v>120</v>
      </c>
      <c r="B85" s="2" t="s">
        <v>111</v>
      </c>
      <c r="C85" s="2" t="s">
        <v>130</v>
      </c>
      <c r="D85" s="2" t="s">
        <v>131</v>
      </c>
      <c r="E85" s="9">
        <f t="shared" si="5"/>
        <v>189.4</v>
      </c>
      <c r="F85" s="2">
        <f t="shared" si="11"/>
        <v>197340</v>
      </c>
      <c r="G85" s="2">
        <f>E85*I1</f>
        <v>270842</v>
      </c>
    </row>
    <row r="86" ht="15.75" customHeight="1">
      <c r="A86" s="2" t="s">
        <v>123</v>
      </c>
      <c r="B86" s="2" t="s">
        <v>111</v>
      </c>
      <c r="C86" s="2" t="s">
        <v>130</v>
      </c>
      <c r="D86" s="2" t="s">
        <v>131</v>
      </c>
      <c r="E86" s="9">
        <f t="shared" si="5"/>
        <v>189.4</v>
      </c>
      <c r="F86" s="2">
        <f t="shared" si="11"/>
        <v>197340</v>
      </c>
      <c r="G86" s="2">
        <f>E86*I1</f>
        <v>270842</v>
      </c>
    </row>
    <row r="87" ht="15.75" customHeight="1">
      <c r="A87" s="3" t="s">
        <v>132</v>
      </c>
      <c r="D87" s="3"/>
      <c r="E87" s="9"/>
    </row>
    <row r="88" ht="15.75" customHeight="1">
      <c r="A88" s="2" t="s">
        <v>118</v>
      </c>
      <c r="B88" s="2" t="s">
        <v>111</v>
      </c>
      <c r="C88" s="2" t="s">
        <v>133</v>
      </c>
      <c r="D88" s="3">
        <v>150.0</v>
      </c>
      <c r="E88" s="9">
        <f t="shared" ref="E88:E93" si="12">D88*1.3+10</f>
        <v>205</v>
      </c>
      <c r="F88" s="2">
        <f t="shared" ref="F88:F101" si="13">D88*$I$1</f>
        <v>214500</v>
      </c>
      <c r="G88" s="2">
        <f>E88*I1</f>
        <v>293150</v>
      </c>
    </row>
    <row r="89" ht="15.75" customHeight="1">
      <c r="A89" s="2" t="s">
        <v>120</v>
      </c>
      <c r="B89" s="2" t="s">
        <v>111</v>
      </c>
      <c r="C89" s="2" t="s">
        <v>133</v>
      </c>
      <c r="D89" s="3">
        <v>150.0</v>
      </c>
      <c r="E89" s="9">
        <f t="shared" si="12"/>
        <v>205</v>
      </c>
      <c r="F89" s="2">
        <f t="shared" si="13"/>
        <v>214500</v>
      </c>
      <c r="G89" s="2">
        <f>E89*I1</f>
        <v>293150</v>
      </c>
    </row>
    <row r="90" ht="15.75" customHeight="1">
      <c r="A90" s="2" t="s">
        <v>123</v>
      </c>
      <c r="B90" s="2" t="s">
        <v>111</v>
      </c>
      <c r="C90" s="2" t="s">
        <v>133</v>
      </c>
      <c r="D90" s="3">
        <v>150.0</v>
      </c>
      <c r="E90" s="9">
        <f t="shared" si="12"/>
        <v>205</v>
      </c>
      <c r="F90" s="2">
        <f t="shared" si="13"/>
        <v>214500</v>
      </c>
      <c r="G90" s="2">
        <f>E90*I1</f>
        <v>293150</v>
      </c>
      <c r="H90" s="3">
        <v>1.0</v>
      </c>
    </row>
    <row r="91" ht="15.75" customHeight="1">
      <c r="A91" s="2" t="s">
        <v>134</v>
      </c>
      <c r="B91" s="2" t="s">
        <v>111</v>
      </c>
      <c r="C91" s="2" t="s">
        <v>135</v>
      </c>
      <c r="D91" s="2" t="s">
        <v>136</v>
      </c>
      <c r="E91" s="9">
        <f t="shared" si="12"/>
        <v>156.51</v>
      </c>
      <c r="F91" s="2">
        <f t="shared" si="13"/>
        <v>161161</v>
      </c>
      <c r="G91" s="2">
        <f>E91*I1</f>
        <v>223809.3</v>
      </c>
    </row>
    <row r="92" ht="15.75" customHeight="1">
      <c r="A92" s="2" t="s">
        <v>137</v>
      </c>
      <c r="B92" s="2" t="s">
        <v>135</v>
      </c>
      <c r="C92" s="2" t="s">
        <v>138</v>
      </c>
      <c r="D92" s="2">
        <v>109.25</v>
      </c>
      <c r="E92" s="9">
        <f t="shared" si="12"/>
        <v>152.025</v>
      </c>
      <c r="F92" s="2">
        <f t="shared" si="13"/>
        <v>156227.5</v>
      </c>
      <c r="G92" s="2">
        <f>E92*I1</f>
        <v>217395.75</v>
      </c>
      <c r="H92" s="3">
        <v>1.0</v>
      </c>
    </row>
    <row r="93" ht="15.75" customHeight="1">
      <c r="A93" s="2" t="s">
        <v>139</v>
      </c>
      <c r="B93" s="2" t="s">
        <v>140</v>
      </c>
      <c r="C93" s="2" t="s">
        <v>141</v>
      </c>
      <c r="D93" s="2" t="s">
        <v>142</v>
      </c>
      <c r="E93" s="9">
        <f t="shared" si="12"/>
        <v>95.215</v>
      </c>
      <c r="F93" s="2">
        <f t="shared" si="13"/>
        <v>93736.5</v>
      </c>
      <c r="G93" s="2">
        <f>E93*I1</f>
        <v>136157.45</v>
      </c>
    </row>
    <row r="94" ht="15.75" customHeight="1">
      <c r="A94" s="2" t="s">
        <v>143</v>
      </c>
      <c r="B94" s="2" t="s">
        <v>144</v>
      </c>
      <c r="C94" s="2" t="s">
        <v>145</v>
      </c>
      <c r="D94" s="3">
        <v>25.0</v>
      </c>
      <c r="E94" s="9">
        <f>D94*1.3</f>
        <v>32.5</v>
      </c>
      <c r="F94" s="2">
        <f t="shared" si="13"/>
        <v>35750</v>
      </c>
      <c r="G94" s="2">
        <f>E94*I1</f>
        <v>46475</v>
      </c>
    </row>
    <row r="95" ht="15.75" customHeight="1">
      <c r="A95" s="2" t="s">
        <v>99</v>
      </c>
      <c r="B95" s="2" t="s">
        <v>12</v>
      </c>
      <c r="C95" s="2" t="s">
        <v>146</v>
      </c>
      <c r="D95" s="2" t="s">
        <v>147</v>
      </c>
      <c r="E95" s="9">
        <f t="shared" ref="E95:E98" si="14">D95*1.3+10</f>
        <v>54.85</v>
      </c>
      <c r="F95" s="2">
        <f t="shared" si="13"/>
        <v>49335</v>
      </c>
      <c r="G95" s="2">
        <f>E95*I1</f>
        <v>78435.5</v>
      </c>
    </row>
    <row r="96" ht="15.75" customHeight="1">
      <c r="A96" s="2" t="s">
        <v>118</v>
      </c>
      <c r="B96" s="2" t="s">
        <v>12</v>
      </c>
      <c r="C96" s="2" t="s">
        <v>148</v>
      </c>
      <c r="D96" s="3">
        <v>34.0</v>
      </c>
      <c r="E96" s="9">
        <f t="shared" si="14"/>
        <v>54.2</v>
      </c>
      <c r="F96" s="2">
        <f t="shared" si="13"/>
        <v>48620</v>
      </c>
      <c r="G96" s="2">
        <f>E96*I1</f>
        <v>77506</v>
      </c>
    </row>
    <row r="97" ht="15.75" customHeight="1">
      <c r="A97" s="2" t="s">
        <v>149</v>
      </c>
      <c r="B97" s="2" t="s">
        <v>12</v>
      </c>
      <c r="C97" s="2" t="s">
        <v>150</v>
      </c>
      <c r="D97" s="3">
        <v>29.0</v>
      </c>
      <c r="E97" s="9">
        <f t="shared" si="14"/>
        <v>47.7</v>
      </c>
      <c r="F97" s="2">
        <f t="shared" si="13"/>
        <v>41470</v>
      </c>
      <c r="G97" s="2">
        <f>E97*I1</f>
        <v>68211</v>
      </c>
    </row>
    <row r="98" ht="15.75" customHeight="1">
      <c r="A98" s="2" t="s">
        <v>99</v>
      </c>
      <c r="B98" s="2" t="s">
        <v>12</v>
      </c>
      <c r="C98" s="2" t="s">
        <v>151</v>
      </c>
      <c r="D98" s="2" t="s">
        <v>95</v>
      </c>
      <c r="E98" s="9">
        <f t="shared" si="14"/>
        <v>50.365</v>
      </c>
      <c r="F98" s="2">
        <f t="shared" si="13"/>
        <v>44401.5</v>
      </c>
      <c r="G98" s="2">
        <f>E98*I1</f>
        <v>72021.95</v>
      </c>
    </row>
    <row r="99" ht="15.75" customHeight="1">
      <c r="A99" s="2" t="s">
        <v>152</v>
      </c>
      <c r="B99" s="2" t="s">
        <v>153</v>
      </c>
      <c r="C99" s="2" t="s">
        <v>154</v>
      </c>
      <c r="D99" s="2" t="s">
        <v>155</v>
      </c>
      <c r="E99" s="16">
        <v>1150.0</v>
      </c>
      <c r="F99" s="2">
        <f t="shared" si="13"/>
        <v>1726725</v>
      </c>
      <c r="G99" s="2">
        <f>E99*I1</f>
        <v>1644500</v>
      </c>
    </row>
    <row r="100" ht="15.75" customHeight="1">
      <c r="A100" s="2" t="s">
        <v>156</v>
      </c>
      <c r="B100" s="2" t="s">
        <v>153</v>
      </c>
      <c r="C100" s="2" t="s">
        <v>154</v>
      </c>
      <c r="D100" s="2" t="s">
        <v>157</v>
      </c>
      <c r="E100" s="16">
        <v>1380.0</v>
      </c>
      <c r="F100" s="2">
        <f t="shared" si="13"/>
        <v>1973400</v>
      </c>
      <c r="G100" s="2">
        <f>E100*I1</f>
        <v>1973400</v>
      </c>
    </row>
    <row r="101" ht="15.75" customHeight="1">
      <c r="A101" s="2" t="s">
        <v>158</v>
      </c>
      <c r="B101" s="3" t="s">
        <v>21</v>
      </c>
      <c r="C101" s="3" t="s">
        <v>159</v>
      </c>
      <c r="D101" s="3">
        <v>540.0</v>
      </c>
      <c r="E101" s="9">
        <f t="shared" ref="E101:E110" si="15">D101*1.3+10</f>
        <v>712</v>
      </c>
      <c r="F101" s="2">
        <f t="shared" si="13"/>
        <v>772200</v>
      </c>
      <c r="G101" s="2">
        <f>E101*I1</f>
        <v>1018160</v>
      </c>
    </row>
    <row r="102" ht="15.75" customHeight="1">
      <c r="A102" s="3" t="s">
        <v>160</v>
      </c>
      <c r="B102" s="3" t="s">
        <v>161</v>
      </c>
      <c r="C102" s="3" t="s">
        <v>162</v>
      </c>
      <c r="D102" s="3">
        <v>2300000.0</v>
      </c>
      <c r="E102" s="9">
        <f t="shared" si="15"/>
        <v>2990010</v>
      </c>
      <c r="G102" s="2">
        <f>E102*I1</f>
        <v>4275714300</v>
      </c>
    </row>
    <row r="103" ht="15.75" customHeight="1">
      <c r="A103" s="2" t="s">
        <v>163</v>
      </c>
      <c r="B103" s="2" t="s">
        <v>111</v>
      </c>
      <c r="C103" s="2" t="s">
        <v>164</v>
      </c>
      <c r="D103" s="2" t="s">
        <v>165</v>
      </c>
      <c r="E103" s="9">
        <f t="shared" si="15"/>
        <v>199.865</v>
      </c>
      <c r="F103" s="2">
        <f t="shared" ref="F103:F108" si="16">D103*$I$1</f>
        <v>208851.5</v>
      </c>
      <c r="G103" s="2">
        <f>E103*I1</f>
        <v>285806.95</v>
      </c>
    </row>
    <row r="104" ht="15.75" customHeight="1">
      <c r="A104" s="2" t="s">
        <v>166</v>
      </c>
      <c r="B104" s="2" t="s">
        <v>167</v>
      </c>
      <c r="C104" s="2" t="s">
        <v>168</v>
      </c>
      <c r="D104" s="2" t="s">
        <v>169</v>
      </c>
      <c r="E104" s="9">
        <f t="shared" si="15"/>
        <v>530</v>
      </c>
      <c r="F104" s="2">
        <f t="shared" si="16"/>
        <v>572000</v>
      </c>
      <c r="G104" s="2">
        <f>E104*I1</f>
        <v>757900</v>
      </c>
    </row>
    <row r="105" ht="15.75" customHeight="1">
      <c r="A105" s="2" t="s">
        <v>71</v>
      </c>
      <c r="B105" s="2" t="s">
        <v>170</v>
      </c>
      <c r="C105" s="2" t="s">
        <v>171</v>
      </c>
      <c r="D105" s="2" t="s">
        <v>102</v>
      </c>
      <c r="E105" s="9">
        <f t="shared" si="15"/>
        <v>45.88</v>
      </c>
      <c r="F105" s="2">
        <f t="shared" si="16"/>
        <v>39468</v>
      </c>
      <c r="G105" s="2">
        <f>E105*I1</f>
        <v>65608.4</v>
      </c>
    </row>
    <row r="106" ht="15.75" customHeight="1">
      <c r="A106" s="2" t="s">
        <v>75</v>
      </c>
      <c r="B106" s="2" t="s">
        <v>170</v>
      </c>
      <c r="C106" s="2" t="s">
        <v>171</v>
      </c>
      <c r="D106" s="2" t="s">
        <v>102</v>
      </c>
      <c r="E106" s="9">
        <f t="shared" si="15"/>
        <v>45.88</v>
      </c>
      <c r="F106" s="2">
        <f t="shared" si="16"/>
        <v>39468</v>
      </c>
      <c r="G106" s="2">
        <f>E106*I1</f>
        <v>65608.4</v>
      </c>
    </row>
    <row r="107" ht="15.75" customHeight="1">
      <c r="A107" s="2" t="s">
        <v>96</v>
      </c>
      <c r="B107" s="2" t="s">
        <v>170</v>
      </c>
      <c r="C107" s="2" t="s">
        <v>172</v>
      </c>
      <c r="D107" s="2" t="s">
        <v>102</v>
      </c>
      <c r="E107" s="9">
        <f t="shared" si="15"/>
        <v>45.88</v>
      </c>
      <c r="F107" s="2">
        <f t="shared" si="16"/>
        <v>39468</v>
      </c>
      <c r="G107" s="2">
        <f>E107*I1</f>
        <v>65608.4</v>
      </c>
    </row>
    <row r="108" ht="15.75" customHeight="1">
      <c r="A108" s="2" t="s">
        <v>173</v>
      </c>
      <c r="B108" s="2" t="s">
        <v>174</v>
      </c>
      <c r="C108" s="2" t="s">
        <v>175</v>
      </c>
      <c r="D108" s="2">
        <v>200.1</v>
      </c>
      <c r="E108" s="9">
        <f t="shared" si="15"/>
        <v>270.13</v>
      </c>
      <c r="F108" s="2">
        <f t="shared" si="16"/>
        <v>286143</v>
      </c>
      <c r="G108" s="2">
        <f>E108*I1</f>
        <v>386285.9</v>
      </c>
    </row>
    <row r="109" ht="15.75" customHeight="1">
      <c r="A109" s="3" t="s">
        <v>176</v>
      </c>
      <c r="D109" s="3">
        <v>287.0</v>
      </c>
      <c r="E109" s="9">
        <f t="shared" si="15"/>
        <v>383.1</v>
      </c>
      <c r="G109" s="2">
        <f>E109*I1</f>
        <v>547833</v>
      </c>
    </row>
    <row r="110" ht="15.75" customHeight="1">
      <c r="A110" s="3" t="s">
        <v>177</v>
      </c>
      <c r="B110" s="3" t="s">
        <v>111</v>
      </c>
      <c r="D110" s="3">
        <v>5640.0</v>
      </c>
      <c r="E110" s="9">
        <f t="shared" si="15"/>
        <v>7342</v>
      </c>
      <c r="G110" s="2">
        <f>E110*I1</f>
        <v>10499060</v>
      </c>
    </row>
    <row r="111" ht="15.75" customHeight="1">
      <c r="E111" s="1"/>
    </row>
    <row r="112" ht="15.75" customHeight="1">
      <c r="E112" s="1"/>
    </row>
    <row r="113" ht="15.75" customHeight="1">
      <c r="E113" s="1"/>
    </row>
    <row r="114" ht="15.75" customHeight="1">
      <c r="E114" s="1"/>
    </row>
    <row r="115" ht="15.75" customHeight="1">
      <c r="E115" s="1"/>
    </row>
    <row r="116" ht="15.75" customHeight="1">
      <c r="E116" s="1"/>
    </row>
    <row r="117" ht="15.75" customHeight="1">
      <c r="E117" s="1"/>
    </row>
    <row r="118" ht="15.75" customHeight="1">
      <c r="E118" s="1"/>
    </row>
    <row r="119" ht="15.75" customHeight="1">
      <c r="E119" s="1"/>
    </row>
    <row r="120" ht="15.75" customHeight="1">
      <c r="E120" s="1"/>
    </row>
    <row r="121" ht="15.75" customHeight="1">
      <c r="E121" s="1"/>
    </row>
    <row r="122" ht="15.75" customHeight="1">
      <c r="E122" s="1"/>
    </row>
    <row r="123" ht="15.75" customHeight="1">
      <c r="E123" s="1"/>
    </row>
    <row r="124" ht="15.75" customHeight="1">
      <c r="E124" s="1"/>
    </row>
    <row r="125" ht="15.75" customHeight="1">
      <c r="E125" s="1"/>
    </row>
    <row r="126" ht="15.75" customHeight="1">
      <c r="E126" s="1"/>
    </row>
    <row r="127" ht="15.75" customHeight="1">
      <c r="E127" s="1"/>
    </row>
    <row r="128" ht="15.75" customHeight="1">
      <c r="E128" s="1"/>
    </row>
    <row r="129" ht="15.75" customHeight="1">
      <c r="E129" s="1"/>
    </row>
    <row r="130" ht="15.75" customHeight="1">
      <c r="E130" s="1"/>
    </row>
    <row r="131" ht="15.75" customHeight="1">
      <c r="E131" s="1"/>
    </row>
    <row r="132" ht="15.75" customHeight="1">
      <c r="E132" s="1"/>
    </row>
    <row r="133" ht="15.75" customHeight="1">
      <c r="E133" s="1"/>
    </row>
    <row r="134" ht="15.75" customHeight="1">
      <c r="E134" s="1"/>
    </row>
    <row r="135" ht="15.75" customHeight="1">
      <c r="E135" s="1"/>
    </row>
    <row r="136" ht="15.75" customHeight="1">
      <c r="E136" s="1"/>
    </row>
    <row r="137" ht="15.75" customHeight="1">
      <c r="E137" s="1"/>
    </row>
    <row r="138" ht="15.75" customHeight="1">
      <c r="E138" s="1"/>
    </row>
    <row r="139" ht="15.75" customHeight="1">
      <c r="E139" s="1"/>
    </row>
    <row r="140" ht="15.75" customHeight="1">
      <c r="E140" s="1"/>
    </row>
    <row r="141" ht="15.75" customHeight="1">
      <c r="E141" s="1"/>
    </row>
    <row r="142" ht="15.75" customHeight="1">
      <c r="E142" s="1"/>
    </row>
    <row r="143" ht="15.75" customHeight="1">
      <c r="E143" s="1"/>
    </row>
    <row r="144" ht="15.75" customHeight="1">
      <c r="E144" s="1"/>
    </row>
    <row r="145" ht="15.75" customHeight="1">
      <c r="E145" s="1"/>
    </row>
    <row r="146" ht="15.75" customHeight="1">
      <c r="E146" s="1"/>
    </row>
    <row r="147" ht="15.75" customHeight="1">
      <c r="E147" s="1"/>
    </row>
    <row r="148" ht="15.75" customHeight="1">
      <c r="E148" s="1"/>
    </row>
    <row r="149" ht="15.75" customHeight="1">
      <c r="E149" s="1"/>
    </row>
    <row r="150" ht="15.75" customHeight="1">
      <c r="E150" s="1"/>
    </row>
    <row r="151" ht="15.75" customHeight="1">
      <c r="E151" s="1"/>
    </row>
    <row r="152" ht="15.75" customHeight="1">
      <c r="E152" s="1"/>
    </row>
    <row r="153" ht="15.75" customHeight="1">
      <c r="E153" s="1"/>
    </row>
    <row r="154" ht="15.75" customHeight="1">
      <c r="E154" s="1"/>
    </row>
    <row r="155" ht="15.75" customHeight="1">
      <c r="E155" s="1"/>
    </row>
    <row r="156" ht="15.75" customHeight="1">
      <c r="E156" s="1"/>
    </row>
    <row r="157" ht="15.75" customHeight="1">
      <c r="E157" s="1"/>
    </row>
    <row r="158" ht="15.75" customHeight="1">
      <c r="E158" s="1"/>
    </row>
    <row r="159" ht="15.75" customHeight="1">
      <c r="E159" s="1"/>
    </row>
    <row r="160" ht="15.75" customHeight="1">
      <c r="E160" s="1"/>
    </row>
    <row r="161" ht="15.75" customHeight="1">
      <c r="E161" s="1"/>
    </row>
    <row r="162" ht="15.75" customHeight="1">
      <c r="E162" s="1"/>
    </row>
    <row r="163" ht="15.75" customHeight="1">
      <c r="E163" s="1"/>
    </row>
    <row r="164" ht="15.75" customHeight="1">
      <c r="E164" s="1"/>
    </row>
    <row r="165" ht="15.75" customHeight="1">
      <c r="E165" s="1"/>
    </row>
    <row r="166" ht="15.75" customHeight="1">
      <c r="E166" s="1"/>
    </row>
    <row r="167" ht="15.75" customHeight="1">
      <c r="E167" s="1"/>
    </row>
    <row r="168" ht="15.75" customHeight="1">
      <c r="E168" s="1"/>
    </row>
    <row r="169" ht="15.75" customHeight="1">
      <c r="E169" s="1"/>
    </row>
    <row r="170" ht="15.75" customHeight="1">
      <c r="E170" s="1"/>
    </row>
    <row r="171" ht="15.75" customHeight="1">
      <c r="E171" s="1"/>
    </row>
    <row r="172" ht="15.75" customHeight="1">
      <c r="E172" s="1"/>
    </row>
    <row r="173" ht="15.75" customHeight="1">
      <c r="E173" s="1"/>
    </row>
    <row r="174" ht="15.75" customHeight="1">
      <c r="E174" s="1"/>
    </row>
    <row r="175" ht="15.75" customHeight="1">
      <c r="E175" s="1"/>
    </row>
    <row r="176" ht="15.75" customHeight="1">
      <c r="E176" s="1"/>
    </row>
    <row r="177" ht="15.75" customHeight="1">
      <c r="E177" s="1"/>
    </row>
    <row r="178" ht="15.75" customHeight="1">
      <c r="E178" s="1"/>
    </row>
    <row r="179" ht="15.75" customHeight="1">
      <c r="E179" s="1"/>
    </row>
    <row r="180" ht="15.75" customHeight="1">
      <c r="E180" s="1"/>
    </row>
    <row r="181" ht="15.75" customHeight="1">
      <c r="E181" s="1"/>
    </row>
    <row r="182" ht="15.75" customHeight="1">
      <c r="E182" s="1"/>
    </row>
    <row r="183" ht="15.75" customHeight="1">
      <c r="E183" s="1"/>
    </row>
    <row r="184" ht="15.75" customHeight="1">
      <c r="E184" s="1"/>
    </row>
    <row r="185" ht="15.75" customHeight="1">
      <c r="E185" s="1"/>
    </row>
    <row r="186" ht="15.75" customHeight="1">
      <c r="E186" s="1"/>
    </row>
    <row r="187" ht="15.75" customHeight="1">
      <c r="E187" s="1"/>
    </row>
    <row r="188" ht="15.75" customHeight="1">
      <c r="E188" s="1"/>
    </row>
    <row r="189" ht="15.75" customHeight="1">
      <c r="E189" s="1"/>
    </row>
    <row r="190" ht="15.75" customHeight="1">
      <c r="E190" s="1"/>
    </row>
    <row r="191" ht="15.75" customHeight="1">
      <c r="E191" s="1"/>
    </row>
    <row r="192" ht="15.75" customHeight="1">
      <c r="E192" s="1"/>
    </row>
    <row r="193" ht="15.75" customHeight="1">
      <c r="E193" s="1"/>
    </row>
    <row r="194" ht="15.75" customHeight="1">
      <c r="E194" s="1"/>
    </row>
    <row r="195" ht="15.75" customHeight="1">
      <c r="E195" s="1"/>
    </row>
    <row r="196" ht="15.75" customHeight="1">
      <c r="E196" s="1"/>
    </row>
    <row r="197" ht="15.75" customHeight="1">
      <c r="E197" s="1"/>
    </row>
    <row r="198" ht="15.75" customHeight="1">
      <c r="E198" s="1"/>
    </row>
    <row r="199" ht="15.75" customHeight="1">
      <c r="E199" s="1"/>
    </row>
    <row r="200" ht="15.75" customHeight="1">
      <c r="E200" s="1"/>
    </row>
    <row r="201" ht="15.75" customHeight="1">
      <c r="E201" s="1"/>
    </row>
    <row r="202" ht="15.75" customHeight="1">
      <c r="E202" s="1"/>
    </row>
    <row r="203" ht="15.75" customHeight="1">
      <c r="E203" s="1"/>
    </row>
    <row r="204" ht="15.75" customHeight="1">
      <c r="E204" s="1"/>
    </row>
    <row r="205" ht="15.75" customHeight="1">
      <c r="E205" s="1"/>
    </row>
    <row r="206" ht="15.75" customHeight="1">
      <c r="E206" s="1"/>
    </row>
    <row r="207" ht="15.75" customHeight="1">
      <c r="E207" s="1"/>
    </row>
    <row r="208" ht="15.75" customHeight="1">
      <c r="E208" s="1"/>
    </row>
    <row r="209" ht="15.75" customHeight="1">
      <c r="E209" s="1"/>
    </row>
    <row r="210" ht="15.75" customHeight="1">
      <c r="E210" s="1"/>
    </row>
    <row r="211" ht="15.75" customHeight="1">
      <c r="E211" s="1"/>
    </row>
    <row r="212" ht="15.75" customHeight="1">
      <c r="E212" s="1"/>
    </row>
    <row r="213" ht="15.75" customHeight="1">
      <c r="E213" s="1"/>
    </row>
    <row r="214" ht="15.75" customHeight="1">
      <c r="E214" s="1"/>
    </row>
    <row r="215" ht="15.75" customHeight="1">
      <c r="E215" s="1"/>
    </row>
    <row r="216" ht="15.75" customHeight="1">
      <c r="E216" s="1"/>
    </row>
    <row r="217" ht="15.75" customHeight="1">
      <c r="E217" s="1"/>
    </row>
    <row r="218" ht="15.75" customHeight="1">
      <c r="E218" s="1"/>
    </row>
    <row r="219" ht="15.75" customHeight="1">
      <c r="E219" s="1"/>
    </row>
    <row r="220" ht="15.75" customHeight="1">
      <c r="E220" s="1"/>
    </row>
    <row r="221" ht="15.75" customHeight="1">
      <c r="E221" s="1"/>
    </row>
    <row r="222" ht="15.75" customHeight="1">
      <c r="E222" s="1"/>
    </row>
    <row r="223" ht="15.75" customHeight="1">
      <c r="E223" s="1"/>
    </row>
    <row r="224" ht="15.75" customHeight="1">
      <c r="E224" s="1"/>
    </row>
    <row r="225" ht="15.75" customHeight="1">
      <c r="E225" s="1"/>
    </row>
    <row r="226" ht="15.75" customHeight="1">
      <c r="E226" s="1"/>
    </row>
    <row r="227" ht="15.75" customHeight="1">
      <c r="E227" s="1"/>
    </row>
    <row r="228" ht="15.75" customHeight="1">
      <c r="E228" s="1"/>
    </row>
    <row r="229" ht="15.75" customHeight="1">
      <c r="E229" s="1"/>
    </row>
    <row r="230" ht="15.75" customHeight="1">
      <c r="E230" s="1"/>
    </row>
    <row r="231" ht="15.75" customHeight="1">
      <c r="E231" s="1"/>
    </row>
    <row r="232" ht="15.75" customHeight="1">
      <c r="E232" s="1"/>
    </row>
    <row r="233" ht="15.75" customHeight="1">
      <c r="E233" s="1"/>
    </row>
    <row r="234" ht="15.75" customHeight="1">
      <c r="E234" s="1"/>
    </row>
    <row r="235" ht="15.75" customHeight="1">
      <c r="E235" s="1"/>
    </row>
    <row r="236" ht="15.75" customHeight="1">
      <c r="E236" s="1"/>
    </row>
    <row r="237" ht="15.75" customHeight="1">
      <c r="E237" s="1"/>
    </row>
    <row r="238" ht="15.75" customHeight="1">
      <c r="E238" s="1"/>
    </row>
    <row r="239" ht="15.75" customHeight="1">
      <c r="E239" s="1"/>
    </row>
    <row r="240" ht="15.75" customHeight="1">
      <c r="E240" s="1"/>
    </row>
    <row r="241" ht="15.75" customHeight="1">
      <c r="E241" s="1"/>
    </row>
    <row r="242" ht="15.75" customHeight="1">
      <c r="E242" s="1"/>
    </row>
    <row r="243" ht="15.75" customHeight="1">
      <c r="E243" s="1"/>
    </row>
    <row r="244" ht="15.75" customHeight="1">
      <c r="E244" s="1"/>
    </row>
    <row r="245" ht="15.75" customHeight="1">
      <c r="E245" s="1"/>
    </row>
    <row r="246" ht="15.75" customHeight="1">
      <c r="E246" s="1"/>
    </row>
    <row r="247" ht="15.75" customHeight="1">
      <c r="E247" s="1"/>
    </row>
    <row r="248" ht="15.75" customHeight="1">
      <c r="E248" s="1"/>
    </row>
    <row r="249" ht="15.75" customHeight="1">
      <c r="E249" s="1"/>
    </row>
    <row r="250" ht="15.75" customHeight="1">
      <c r="E250" s="1"/>
    </row>
    <row r="251" ht="15.75" customHeight="1">
      <c r="E251" s="1"/>
    </row>
    <row r="252" ht="15.75" customHeight="1">
      <c r="E252" s="1"/>
    </row>
    <row r="253" ht="15.75" customHeight="1">
      <c r="E253" s="1"/>
    </row>
    <row r="254" ht="15.75" customHeight="1">
      <c r="E254" s="1"/>
    </row>
    <row r="255" ht="15.75" customHeight="1">
      <c r="E255" s="1"/>
    </row>
    <row r="256" ht="15.75" customHeight="1">
      <c r="E256" s="1"/>
    </row>
    <row r="257" ht="15.75" customHeight="1">
      <c r="E257" s="1"/>
    </row>
    <row r="258" ht="15.75" customHeight="1">
      <c r="E258" s="1"/>
    </row>
    <row r="259" ht="15.75" customHeight="1">
      <c r="E259" s="1"/>
    </row>
    <row r="260" ht="15.75" customHeight="1">
      <c r="E260" s="1"/>
    </row>
    <row r="261" ht="15.75" customHeight="1">
      <c r="E261" s="1"/>
    </row>
    <row r="262" ht="15.75" customHeight="1">
      <c r="E262" s="1"/>
    </row>
    <row r="263" ht="15.75" customHeight="1">
      <c r="E263" s="1"/>
    </row>
    <row r="264" ht="15.75" customHeight="1">
      <c r="E264" s="1"/>
    </row>
    <row r="265" ht="15.75" customHeight="1">
      <c r="E265" s="1"/>
    </row>
    <row r="266" ht="15.75" customHeight="1">
      <c r="E266" s="1"/>
    </row>
    <row r="267" ht="15.75" customHeight="1">
      <c r="E267" s="1"/>
    </row>
    <row r="268" ht="15.75" customHeight="1">
      <c r="E268" s="1"/>
    </row>
    <row r="269" ht="15.75" customHeight="1">
      <c r="E269" s="1"/>
    </row>
    <row r="270" ht="15.75" customHeight="1">
      <c r="E270" s="1"/>
    </row>
    <row r="271" ht="15.75" customHeight="1">
      <c r="E271" s="1"/>
    </row>
    <row r="272" ht="15.75" customHeight="1">
      <c r="E272" s="1"/>
    </row>
    <row r="273" ht="15.75" customHeight="1">
      <c r="E273" s="1"/>
    </row>
    <row r="274" ht="15.75" customHeight="1">
      <c r="E274" s="1"/>
    </row>
    <row r="275" ht="15.75" customHeight="1">
      <c r="E275" s="1"/>
    </row>
    <row r="276" ht="15.75" customHeight="1">
      <c r="E276" s="1"/>
    </row>
    <row r="277" ht="15.75" customHeight="1">
      <c r="E277" s="1"/>
    </row>
    <row r="278" ht="15.75" customHeight="1">
      <c r="E278" s="1"/>
    </row>
    <row r="279" ht="15.75" customHeight="1">
      <c r="E279" s="1"/>
    </row>
    <row r="280" ht="15.75" customHeight="1">
      <c r="E280" s="1"/>
    </row>
    <row r="281" ht="15.75" customHeight="1">
      <c r="E281" s="1"/>
    </row>
    <row r="282" ht="15.75" customHeight="1">
      <c r="E282" s="1"/>
    </row>
    <row r="283" ht="15.75" customHeight="1">
      <c r="E283" s="1"/>
    </row>
    <row r="284" ht="15.75" customHeight="1">
      <c r="E284" s="1"/>
    </row>
    <row r="285" ht="15.75" customHeight="1">
      <c r="E285" s="1"/>
    </row>
    <row r="286" ht="15.75" customHeight="1">
      <c r="E286" s="1"/>
    </row>
    <row r="287" ht="15.75" customHeight="1">
      <c r="E287" s="1"/>
    </row>
    <row r="288" ht="15.75" customHeight="1">
      <c r="E288" s="1"/>
    </row>
    <row r="289" ht="15.75" customHeight="1">
      <c r="E289" s="1"/>
    </row>
    <row r="290" ht="15.75" customHeight="1">
      <c r="E290" s="1"/>
    </row>
    <row r="291" ht="15.75" customHeight="1">
      <c r="E291" s="1"/>
    </row>
    <row r="292" ht="15.75" customHeight="1">
      <c r="E292" s="1"/>
    </row>
    <row r="293" ht="15.75" customHeight="1">
      <c r="E293" s="1"/>
    </row>
    <row r="294" ht="15.75" customHeight="1">
      <c r="E294" s="1"/>
    </row>
    <row r="295" ht="15.75" customHeight="1">
      <c r="E295" s="1"/>
    </row>
    <row r="296" ht="15.75" customHeight="1">
      <c r="E296" s="1"/>
    </row>
    <row r="297" ht="15.75" customHeight="1">
      <c r="E297" s="1"/>
    </row>
    <row r="298" ht="15.75" customHeight="1">
      <c r="E298" s="1"/>
    </row>
    <row r="299" ht="15.75" customHeight="1">
      <c r="E299" s="1"/>
    </row>
    <row r="300" ht="15.75" customHeight="1">
      <c r="E300" s="1"/>
    </row>
    <row r="301" ht="15.75" customHeight="1">
      <c r="E301" s="1"/>
    </row>
    <row r="302" ht="15.75" customHeight="1">
      <c r="E302" s="1"/>
    </row>
    <row r="303" ht="15.75" customHeight="1">
      <c r="E303" s="1"/>
    </row>
    <row r="304" ht="15.75" customHeight="1">
      <c r="E304" s="1"/>
    </row>
    <row r="305" ht="15.75" customHeight="1">
      <c r="E305" s="1"/>
    </row>
    <row r="306" ht="15.75" customHeight="1">
      <c r="E306" s="1"/>
    </row>
    <row r="307" ht="15.75" customHeight="1">
      <c r="E307" s="1"/>
    </row>
    <row r="308" ht="15.75" customHeight="1">
      <c r="E308" s="1"/>
    </row>
    <row r="309" ht="15.75" customHeight="1">
      <c r="E309" s="1"/>
    </row>
    <row r="310" ht="15.75" customHeight="1">
      <c r="E310" s="1"/>
    </row>
    <row r="311" ht="15.75" customHeight="1">
      <c r="E311" s="1"/>
    </row>
    <row r="312" ht="15.75" customHeight="1">
      <c r="E312" s="1"/>
    </row>
    <row r="313" ht="15.75" customHeight="1">
      <c r="E313" s="1"/>
    </row>
    <row r="314" ht="15.75" customHeight="1">
      <c r="E314" s="1"/>
    </row>
    <row r="315" ht="15.75" customHeight="1">
      <c r="E315" s="1"/>
    </row>
    <row r="316" ht="15.75" customHeight="1">
      <c r="E316" s="1"/>
    </row>
    <row r="317" ht="15.75" customHeight="1">
      <c r="E317" s="1"/>
    </row>
    <row r="318" ht="15.75" customHeight="1">
      <c r="E318" s="1"/>
    </row>
    <row r="319" ht="15.75" customHeight="1">
      <c r="E319" s="1"/>
    </row>
    <row r="320" ht="15.75" customHeight="1">
      <c r="E320" s="1"/>
    </row>
    <row r="321" ht="15.75" customHeight="1">
      <c r="E321" s="1"/>
    </row>
    <row r="322" ht="15.75" customHeight="1">
      <c r="E322" s="1"/>
    </row>
    <row r="323" ht="15.75" customHeight="1">
      <c r="E323" s="1"/>
    </row>
    <row r="324" ht="15.75" customHeight="1">
      <c r="E324" s="1"/>
    </row>
    <row r="325" ht="15.75" customHeight="1">
      <c r="E325" s="1"/>
    </row>
    <row r="326" ht="15.75" customHeight="1">
      <c r="E326" s="1"/>
    </row>
    <row r="327" ht="15.75" customHeight="1">
      <c r="E327" s="1"/>
    </row>
    <row r="328" ht="15.75" customHeight="1">
      <c r="E328" s="1"/>
    </row>
    <row r="329" ht="15.75" customHeight="1">
      <c r="E329" s="1"/>
    </row>
    <row r="330" ht="15.75" customHeight="1">
      <c r="E330" s="1"/>
    </row>
    <row r="331" ht="15.75" customHeight="1">
      <c r="E331" s="1"/>
    </row>
    <row r="332" ht="15.75" customHeight="1">
      <c r="E332" s="1"/>
    </row>
    <row r="333" ht="15.75" customHeight="1">
      <c r="E333" s="1"/>
    </row>
    <row r="334" ht="15.75" customHeight="1">
      <c r="E334" s="1"/>
    </row>
    <row r="335" ht="15.75" customHeight="1">
      <c r="E335" s="1"/>
    </row>
    <row r="336" ht="15.75" customHeight="1">
      <c r="E336" s="1"/>
    </row>
    <row r="337" ht="15.75" customHeight="1">
      <c r="E337" s="1"/>
    </row>
    <row r="338" ht="15.75" customHeight="1">
      <c r="E338" s="1"/>
    </row>
    <row r="339" ht="15.75" customHeight="1">
      <c r="E339" s="1"/>
    </row>
    <row r="340" ht="15.75" customHeight="1">
      <c r="E340" s="1"/>
    </row>
    <row r="341" ht="15.75" customHeight="1">
      <c r="E341" s="1"/>
    </row>
    <row r="342" ht="15.75" customHeight="1">
      <c r="E342" s="1"/>
    </row>
    <row r="343" ht="15.75" customHeight="1">
      <c r="E343" s="1"/>
    </row>
    <row r="344" ht="15.75" customHeight="1">
      <c r="E344" s="1"/>
    </row>
    <row r="345" ht="15.75" customHeight="1">
      <c r="E345" s="1"/>
    </row>
    <row r="346" ht="15.75" customHeight="1">
      <c r="E346" s="1"/>
    </row>
    <row r="347" ht="15.75" customHeight="1">
      <c r="E347" s="1"/>
    </row>
    <row r="348" ht="15.75" customHeight="1">
      <c r="E348" s="1"/>
    </row>
    <row r="349" ht="15.75" customHeight="1">
      <c r="E349" s="1"/>
    </row>
    <row r="350" ht="15.75" customHeight="1">
      <c r="E350" s="1"/>
    </row>
    <row r="351" ht="15.75" customHeight="1">
      <c r="E351" s="1"/>
    </row>
    <row r="352" ht="15.75" customHeight="1">
      <c r="E352" s="1"/>
    </row>
    <row r="353" ht="15.75" customHeight="1">
      <c r="E353" s="1"/>
    </row>
    <row r="354" ht="15.75" customHeight="1">
      <c r="E354" s="1"/>
    </row>
    <row r="355" ht="15.75" customHeight="1">
      <c r="E355" s="1"/>
    </row>
    <row r="356" ht="15.75" customHeight="1">
      <c r="E356" s="1"/>
    </row>
    <row r="357" ht="15.75" customHeight="1">
      <c r="E357" s="1"/>
    </row>
    <row r="358" ht="15.75" customHeight="1">
      <c r="E358" s="1"/>
    </row>
    <row r="359" ht="15.75" customHeight="1">
      <c r="E359" s="1"/>
    </row>
    <row r="360" ht="15.75" customHeight="1">
      <c r="E360" s="1"/>
    </row>
    <row r="361" ht="15.75" customHeight="1">
      <c r="E361" s="1"/>
    </row>
    <row r="362" ht="15.75" customHeight="1">
      <c r="E362" s="1"/>
    </row>
    <row r="363" ht="15.75" customHeight="1">
      <c r="E363" s="1"/>
    </row>
    <row r="364" ht="15.75" customHeight="1">
      <c r="E364" s="1"/>
    </row>
    <row r="365" ht="15.75" customHeight="1">
      <c r="E365" s="1"/>
    </row>
    <row r="366" ht="15.75" customHeight="1">
      <c r="E366" s="1"/>
    </row>
    <row r="367" ht="15.75" customHeight="1">
      <c r="E367" s="1"/>
    </row>
    <row r="368" ht="15.75" customHeight="1">
      <c r="E368" s="1"/>
    </row>
    <row r="369" ht="15.75" customHeight="1">
      <c r="E369" s="1"/>
    </row>
    <row r="370" ht="15.75" customHeight="1">
      <c r="E370" s="1"/>
    </row>
    <row r="371" ht="15.75" customHeight="1">
      <c r="E371" s="1"/>
    </row>
    <row r="372" ht="15.75" customHeight="1">
      <c r="E372" s="1"/>
    </row>
    <row r="373" ht="15.75" customHeight="1">
      <c r="E373" s="1"/>
    </row>
    <row r="374" ht="15.75" customHeight="1">
      <c r="E374" s="1"/>
    </row>
    <row r="375" ht="15.75" customHeight="1">
      <c r="E375" s="1"/>
    </row>
    <row r="376" ht="15.75" customHeight="1">
      <c r="E376" s="1"/>
    </row>
    <row r="377" ht="15.75" customHeight="1">
      <c r="E377" s="1"/>
    </row>
    <row r="378" ht="15.75" customHeight="1">
      <c r="E378" s="1"/>
    </row>
    <row r="379" ht="15.75" customHeight="1">
      <c r="E379" s="1"/>
    </row>
    <row r="380" ht="15.75" customHeight="1">
      <c r="E380" s="1"/>
    </row>
    <row r="381" ht="15.75" customHeight="1">
      <c r="E381" s="1"/>
    </row>
    <row r="382" ht="15.75" customHeight="1">
      <c r="E382" s="1"/>
    </row>
    <row r="383" ht="15.75" customHeight="1">
      <c r="E383" s="1"/>
    </row>
    <row r="384" ht="15.75" customHeight="1">
      <c r="E384" s="1"/>
    </row>
    <row r="385" ht="15.75" customHeight="1">
      <c r="E385" s="1"/>
    </row>
    <row r="386" ht="15.75" customHeight="1">
      <c r="E386" s="1"/>
    </row>
    <row r="387" ht="15.75" customHeight="1">
      <c r="E387" s="1"/>
    </row>
    <row r="388" ht="15.75" customHeight="1">
      <c r="E388" s="1"/>
    </row>
    <row r="389" ht="15.75" customHeight="1">
      <c r="E389" s="1"/>
    </row>
    <row r="390" ht="15.75" customHeight="1">
      <c r="E390" s="1"/>
    </row>
    <row r="391" ht="15.75" customHeight="1">
      <c r="E391" s="1"/>
    </row>
    <row r="392" ht="15.75" customHeight="1">
      <c r="E392" s="1"/>
    </row>
    <row r="393" ht="15.75" customHeight="1">
      <c r="E393" s="1"/>
    </row>
    <row r="394" ht="15.75" customHeight="1">
      <c r="E394" s="1"/>
    </row>
    <row r="395" ht="15.75" customHeight="1">
      <c r="E395" s="1"/>
    </row>
    <row r="396" ht="15.75" customHeight="1">
      <c r="E396" s="1"/>
    </row>
    <row r="397" ht="15.75" customHeight="1">
      <c r="E397" s="1"/>
    </row>
    <row r="398" ht="15.75" customHeight="1">
      <c r="E398" s="1"/>
    </row>
    <row r="399" ht="15.75" customHeight="1">
      <c r="E399" s="1"/>
    </row>
    <row r="400" ht="15.75" customHeight="1">
      <c r="E400" s="1"/>
    </row>
    <row r="401" ht="15.75" customHeight="1">
      <c r="E401" s="1"/>
    </row>
    <row r="402" ht="15.75" customHeight="1">
      <c r="E402" s="1"/>
    </row>
    <row r="403" ht="15.75" customHeight="1">
      <c r="E403" s="1"/>
    </row>
    <row r="404" ht="15.75" customHeight="1">
      <c r="E404" s="1"/>
    </row>
    <row r="405" ht="15.75" customHeight="1">
      <c r="E405" s="1"/>
    </row>
    <row r="406" ht="15.75" customHeight="1">
      <c r="E406" s="1"/>
    </row>
    <row r="407" ht="15.75" customHeight="1">
      <c r="E407" s="1"/>
    </row>
    <row r="408" ht="15.75" customHeight="1">
      <c r="E408" s="1"/>
    </row>
    <row r="409" ht="15.75" customHeight="1">
      <c r="E409" s="1"/>
    </row>
    <row r="410" ht="15.75" customHeight="1">
      <c r="E410" s="1"/>
    </row>
    <row r="411" ht="15.75" customHeight="1">
      <c r="E411" s="1"/>
    </row>
    <row r="412" ht="15.75" customHeight="1">
      <c r="E412" s="1"/>
    </row>
    <row r="413" ht="15.75" customHeight="1">
      <c r="E413" s="1"/>
    </row>
    <row r="414" ht="15.75" customHeight="1">
      <c r="E414" s="1"/>
    </row>
    <row r="415" ht="15.75" customHeight="1">
      <c r="E415" s="1"/>
    </row>
    <row r="416" ht="15.75" customHeight="1">
      <c r="E416" s="1"/>
    </row>
    <row r="417" ht="15.75" customHeight="1">
      <c r="E417" s="1"/>
    </row>
    <row r="418" ht="15.75" customHeight="1">
      <c r="E418" s="1"/>
    </row>
    <row r="419" ht="15.75" customHeight="1">
      <c r="E419" s="1"/>
    </row>
    <row r="420" ht="15.75" customHeight="1">
      <c r="E420" s="1"/>
    </row>
    <row r="421" ht="15.75" customHeight="1">
      <c r="E421" s="1"/>
    </row>
    <row r="422" ht="15.75" customHeight="1">
      <c r="E422" s="1"/>
    </row>
    <row r="423" ht="15.75" customHeight="1">
      <c r="E423" s="1"/>
    </row>
    <row r="424" ht="15.75" customHeight="1">
      <c r="E424" s="1"/>
    </row>
    <row r="425" ht="15.75" customHeight="1">
      <c r="E425" s="1"/>
    </row>
    <row r="426" ht="15.75" customHeight="1">
      <c r="E426" s="1"/>
    </row>
    <row r="427" ht="15.75" customHeight="1">
      <c r="E427" s="1"/>
    </row>
    <row r="428" ht="15.75" customHeight="1">
      <c r="E428" s="1"/>
    </row>
    <row r="429" ht="15.75" customHeight="1">
      <c r="E429" s="1"/>
    </row>
    <row r="430" ht="15.75" customHeight="1">
      <c r="E430" s="1"/>
    </row>
    <row r="431" ht="15.75" customHeight="1">
      <c r="E431" s="1"/>
    </row>
    <row r="432" ht="15.75" customHeight="1">
      <c r="E432" s="1"/>
    </row>
    <row r="433" ht="15.75" customHeight="1">
      <c r="E433" s="1"/>
    </row>
    <row r="434" ht="15.75" customHeight="1">
      <c r="E434" s="1"/>
    </row>
    <row r="435" ht="15.75" customHeight="1">
      <c r="E435" s="1"/>
    </row>
    <row r="436" ht="15.75" customHeight="1">
      <c r="E436" s="1"/>
    </row>
    <row r="437" ht="15.75" customHeight="1">
      <c r="E437" s="1"/>
    </row>
    <row r="438" ht="15.75" customHeight="1">
      <c r="E438" s="1"/>
    </row>
    <row r="439" ht="15.75" customHeight="1">
      <c r="E439" s="1"/>
    </row>
    <row r="440" ht="15.75" customHeight="1">
      <c r="E440" s="1"/>
    </row>
    <row r="441" ht="15.75" customHeight="1">
      <c r="E441" s="1"/>
    </row>
    <row r="442" ht="15.75" customHeight="1">
      <c r="E442" s="1"/>
    </row>
    <row r="443" ht="15.75" customHeight="1">
      <c r="E443" s="1"/>
    </row>
    <row r="444" ht="15.75" customHeight="1">
      <c r="E444" s="1"/>
    </row>
    <row r="445" ht="15.75" customHeight="1">
      <c r="E445" s="1"/>
    </row>
    <row r="446" ht="15.75" customHeight="1">
      <c r="E446" s="1"/>
    </row>
    <row r="447" ht="15.75" customHeight="1">
      <c r="E447" s="1"/>
    </row>
    <row r="448" ht="15.75" customHeight="1">
      <c r="E448" s="1"/>
    </row>
    <row r="449" ht="15.75" customHeight="1">
      <c r="E449" s="1"/>
    </row>
    <row r="450" ht="15.75" customHeight="1">
      <c r="E450" s="1"/>
    </row>
    <row r="451" ht="15.75" customHeight="1">
      <c r="E451" s="1"/>
    </row>
    <row r="452" ht="15.75" customHeight="1">
      <c r="E452" s="1"/>
    </row>
    <row r="453" ht="15.75" customHeight="1">
      <c r="E453" s="1"/>
    </row>
    <row r="454" ht="15.75" customHeight="1">
      <c r="E454" s="1"/>
    </row>
    <row r="455" ht="15.75" customHeight="1">
      <c r="E455" s="1"/>
    </row>
    <row r="456" ht="15.75" customHeight="1">
      <c r="E456" s="1"/>
    </row>
    <row r="457" ht="15.75" customHeight="1">
      <c r="E457" s="1"/>
    </row>
    <row r="458" ht="15.75" customHeight="1">
      <c r="E458" s="1"/>
    </row>
    <row r="459" ht="15.75" customHeight="1">
      <c r="E459" s="1"/>
    </row>
    <row r="460" ht="15.75" customHeight="1">
      <c r="E460" s="1"/>
    </row>
    <row r="461" ht="15.75" customHeight="1">
      <c r="E461" s="1"/>
    </row>
    <row r="462" ht="15.75" customHeight="1">
      <c r="E462" s="1"/>
    </row>
    <row r="463" ht="15.75" customHeight="1">
      <c r="E463" s="1"/>
    </row>
    <row r="464" ht="15.75" customHeight="1">
      <c r="E464" s="1"/>
    </row>
    <row r="465" ht="15.75" customHeight="1">
      <c r="E465" s="1"/>
    </row>
    <row r="466" ht="15.75" customHeight="1">
      <c r="E466" s="1"/>
    </row>
    <row r="467" ht="15.75" customHeight="1">
      <c r="E467" s="1"/>
    </row>
    <row r="468" ht="15.75" customHeight="1">
      <c r="E468" s="1"/>
    </row>
    <row r="469" ht="15.75" customHeight="1">
      <c r="E469" s="1"/>
    </row>
    <row r="470" ht="15.75" customHeight="1">
      <c r="E470" s="1"/>
    </row>
    <row r="471" ht="15.75" customHeight="1">
      <c r="E471" s="1"/>
    </row>
    <row r="472" ht="15.75" customHeight="1">
      <c r="E472" s="1"/>
    </row>
    <row r="473" ht="15.75" customHeight="1">
      <c r="E473" s="1"/>
    </row>
    <row r="474" ht="15.75" customHeight="1">
      <c r="E474" s="1"/>
    </row>
    <row r="475" ht="15.75" customHeight="1">
      <c r="E475" s="1"/>
    </row>
    <row r="476" ht="15.75" customHeight="1">
      <c r="E476" s="1"/>
    </row>
    <row r="477" ht="15.75" customHeight="1">
      <c r="E477" s="1"/>
    </row>
    <row r="478" ht="15.75" customHeight="1">
      <c r="E478" s="1"/>
    </row>
    <row r="479" ht="15.75" customHeight="1">
      <c r="E479" s="1"/>
    </row>
    <row r="480" ht="15.75" customHeight="1">
      <c r="E480" s="1"/>
    </row>
    <row r="481" ht="15.75" customHeight="1">
      <c r="E481" s="1"/>
    </row>
    <row r="482" ht="15.75" customHeight="1">
      <c r="E482" s="1"/>
    </row>
    <row r="483" ht="15.75" customHeight="1">
      <c r="E483" s="1"/>
    </row>
    <row r="484" ht="15.75" customHeight="1">
      <c r="E484" s="1"/>
    </row>
    <row r="485" ht="15.75" customHeight="1">
      <c r="E485" s="1"/>
    </row>
    <row r="486" ht="15.75" customHeight="1">
      <c r="E486" s="1"/>
    </row>
    <row r="487" ht="15.75" customHeight="1">
      <c r="E487" s="1"/>
    </row>
    <row r="488" ht="15.75" customHeight="1">
      <c r="E488" s="1"/>
    </row>
    <row r="489" ht="15.75" customHeight="1">
      <c r="E489" s="1"/>
    </row>
    <row r="490" ht="15.75" customHeight="1">
      <c r="E490" s="1"/>
    </row>
    <row r="491" ht="15.75" customHeight="1">
      <c r="E491" s="1"/>
    </row>
    <row r="492" ht="15.75" customHeight="1">
      <c r="E492" s="1"/>
    </row>
    <row r="493" ht="15.75" customHeight="1">
      <c r="E493" s="1"/>
    </row>
    <row r="494" ht="15.75" customHeight="1">
      <c r="E494" s="1"/>
    </row>
    <row r="495" ht="15.75" customHeight="1">
      <c r="E495" s="1"/>
    </row>
    <row r="496" ht="15.75" customHeight="1">
      <c r="E496" s="1"/>
    </row>
    <row r="497" ht="15.75" customHeight="1">
      <c r="E497" s="1"/>
    </row>
    <row r="498" ht="15.75" customHeight="1">
      <c r="E498" s="1"/>
    </row>
    <row r="499" ht="15.75" customHeight="1">
      <c r="E499" s="1"/>
    </row>
    <row r="500" ht="15.75" customHeight="1">
      <c r="E500" s="1"/>
    </row>
    <row r="501" ht="15.75" customHeight="1">
      <c r="E501" s="1"/>
    </row>
    <row r="502" ht="15.75" customHeight="1">
      <c r="E502" s="1"/>
    </row>
    <row r="503" ht="15.75" customHeight="1">
      <c r="E503" s="1"/>
    </row>
    <row r="504" ht="15.75" customHeight="1">
      <c r="E504" s="1"/>
    </row>
    <row r="505" ht="15.75" customHeight="1">
      <c r="E505" s="1"/>
    </row>
    <row r="506" ht="15.75" customHeight="1">
      <c r="E506" s="1"/>
    </row>
    <row r="507" ht="15.75" customHeight="1">
      <c r="E507" s="1"/>
    </row>
    <row r="508" ht="15.75" customHeight="1">
      <c r="E508" s="1"/>
    </row>
    <row r="509" ht="15.75" customHeight="1">
      <c r="E509" s="1"/>
    </row>
    <row r="510" ht="15.75" customHeight="1">
      <c r="E510" s="1"/>
    </row>
    <row r="511" ht="15.75" customHeight="1">
      <c r="E511" s="1"/>
    </row>
    <row r="512" ht="15.75" customHeight="1">
      <c r="E512" s="1"/>
    </row>
    <row r="513" ht="15.75" customHeight="1">
      <c r="E513" s="1"/>
    </row>
    <row r="514" ht="15.75" customHeight="1">
      <c r="E514" s="1"/>
    </row>
    <row r="515" ht="15.75" customHeight="1">
      <c r="E515" s="1"/>
    </row>
    <row r="516" ht="15.75" customHeight="1">
      <c r="E516" s="1"/>
    </row>
    <row r="517" ht="15.75" customHeight="1">
      <c r="E517" s="1"/>
    </row>
    <row r="518" ht="15.75" customHeight="1">
      <c r="E518" s="1"/>
    </row>
    <row r="519" ht="15.75" customHeight="1">
      <c r="E519" s="1"/>
    </row>
    <row r="520" ht="15.75" customHeight="1">
      <c r="E520" s="1"/>
    </row>
    <row r="521" ht="15.75" customHeight="1">
      <c r="E521" s="1"/>
    </row>
    <row r="522" ht="15.75" customHeight="1">
      <c r="E522" s="1"/>
    </row>
    <row r="523" ht="15.75" customHeight="1">
      <c r="E523" s="1"/>
    </row>
    <row r="524" ht="15.75" customHeight="1">
      <c r="E524" s="1"/>
    </row>
    <row r="525" ht="15.75" customHeight="1">
      <c r="E525" s="1"/>
    </row>
    <row r="526" ht="15.75" customHeight="1">
      <c r="E526" s="1"/>
    </row>
    <row r="527" ht="15.75" customHeight="1">
      <c r="E527" s="1"/>
    </row>
    <row r="528" ht="15.75" customHeight="1">
      <c r="E528" s="1"/>
    </row>
    <row r="529" ht="15.75" customHeight="1">
      <c r="E529" s="1"/>
    </row>
    <row r="530" ht="15.75" customHeight="1">
      <c r="E530" s="1"/>
    </row>
    <row r="531" ht="15.75" customHeight="1">
      <c r="E531" s="1"/>
    </row>
    <row r="532" ht="15.75" customHeight="1">
      <c r="E532" s="1"/>
    </row>
    <row r="533" ht="15.75" customHeight="1">
      <c r="E533" s="1"/>
    </row>
    <row r="534" ht="15.75" customHeight="1">
      <c r="E534" s="1"/>
    </row>
    <row r="535" ht="15.75" customHeight="1">
      <c r="E535" s="1"/>
    </row>
    <row r="536" ht="15.75" customHeight="1">
      <c r="E536" s="1"/>
    </row>
    <row r="537" ht="15.75" customHeight="1">
      <c r="E537" s="1"/>
    </row>
    <row r="538" ht="15.75" customHeight="1">
      <c r="E538" s="1"/>
    </row>
    <row r="539" ht="15.75" customHeight="1">
      <c r="E539" s="1"/>
    </row>
    <row r="540" ht="15.75" customHeight="1">
      <c r="E540" s="1"/>
    </row>
    <row r="541" ht="15.75" customHeight="1">
      <c r="E541" s="1"/>
    </row>
    <row r="542" ht="15.75" customHeight="1">
      <c r="E542" s="1"/>
    </row>
    <row r="543" ht="15.75" customHeight="1">
      <c r="E543" s="1"/>
    </row>
    <row r="544" ht="15.75" customHeight="1">
      <c r="E544" s="1"/>
    </row>
    <row r="545" ht="15.75" customHeight="1">
      <c r="E545" s="1"/>
    </row>
    <row r="546" ht="15.75" customHeight="1">
      <c r="E546" s="1"/>
    </row>
    <row r="547" ht="15.75" customHeight="1">
      <c r="E547" s="1"/>
    </row>
    <row r="548" ht="15.75" customHeight="1">
      <c r="E548" s="1"/>
    </row>
    <row r="549" ht="15.75" customHeight="1">
      <c r="E549" s="1"/>
    </row>
    <row r="550" ht="15.75" customHeight="1">
      <c r="E550" s="1"/>
    </row>
    <row r="551" ht="15.75" customHeight="1">
      <c r="E551" s="1"/>
    </row>
    <row r="552" ht="15.75" customHeight="1">
      <c r="E552" s="1"/>
    </row>
    <row r="553" ht="15.75" customHeight="1">
      <c r="E553" s="1"/>
    </row>
    <row r="554" ht="15.75" customHeight="1">
      <c r="E554" s="1"/>
    </row>
    <row r="555" ht="15.75" customHeight="1">
      <c r="E555" s="1"/>
    </row>
    <row r="556" ht="15.75" customHeight="1">
      <c r="E556" s="1"/>
    </row>
    <row r="557" ht="15.75" customHeight="1">
      <c r="E557" s="1"/>
    </row>
    <row r="558" ht="15.75" customHeight="1">
      <c r="E558" s="1"/>
    </row>
    <row r="559" ht="15.75" customHeight="1">
      <c r="E559" s="1"/>
    </row>
    <row r="560" ht="15.75" customHeight="1">
      <c r="E560" s="1"/>
    </row>
    <row r="561" ht="15.75" customHeight="1">
      <c r="E561" s="1"/>
    </row>
    <row r="562" ht="15.75" customHeight="1">
      <c r="E562" s="1"/>
    </row>
    <row r="563" ht="15.75" customHeight="1">
      <c r="E563" s="1"/>
    </row>
    <row r="564" ht="15.75" customHeight="1">
      <c r="E564" s="1"/>
    </row>
    <row r="565" ht="15.75" customHeight="1">
      <c r="E565" s="1"/>
    </row>
    <row r="566" ht="15.75" customHeight="1">
      <c r="E566" s="1"/>
    </row>
    <row r="567" ht="15.75" customHeight="1">
      <c r="E567" s="1"/>
    </row>
    <row r="568" ht="15.75" customHeight="1">
      <c r="E568" s="1"/>
    </row>
    <row r="569" ht="15.75" customHeight="1">
      <c r="E569" s="1"/>
    </row>
    <row r="570" ht="15.75" customHeight="1">
      <c r="E570" s="1"/>
    </row>
    <row r="571" ht="15.75" customHeight="1">
      <c r="E571" s="1"/>
    </row>
    <row r="572" ht="15.75" customHeight="1">
      <c r="E572" s="1"/>
    </row>
    <row r="573" ht="15.75" customHeight="1">
      <c r="E573" s="1"/>
    </row>
    <row r="574" ht="15.75" customHeight="1">
      <c r="E574" s="1"/>
    </row>
    <row r="575" ht="15.75" customHeight="1">
      <c r="E575" s="1"/>
    </row>
    <row r="576" ht="15.75" customHeight="1">
      <c r="E576" s="1"/>
    </row>
    <row r="577" ht="15.75" customHeight="1">
      <c r="E577" s="1"/>
    </row>
    <row r="578" ht="15.75" customHeight="1">
      <c r="E578" s="1"/>
    </row>
    <row r="579" ht="15.75" customHeight="1">
      <c r="E579" s="1"/>
    </row>
    <row r="580" ht="15.75" customHeight="1">
      <c r="E580" s="1"/>
    </row>
    <row r="581" ht="15.75" customHeight="1">
      <c r="E581" s="1"/>
    </row>
    <row r="582" ht="15.75" customHeight="1">
      <c r="E582" s="1"/>
    </row>
    <row r="583" ht="15.75" customHeight="1">
      <c r="E583" s="1"/>
    </row>
    <row r="584" ht="15.75" customHeight="1">
      <c r="E584" s="1"/>
    </row>
    <row r="585" ht="15.75" customHeight="1">
      <c r="E585" s="1"/>
    </row>
    <row r="586" ht="15.75" customHeight="1">
      <c r="E586" s="1"/>
    </row>
    <row r="587" ht="15.75" customHeight="1">
      <c r="E587" s="1"/>
    </row>
    <row r="588" ht="15.75" customHeight="1">
      <c r="E588" s="1"/>
    </row>
    <row r="589" ht="15.75" customHeight="1">
      <c r="E589" s="1"/>
    </row>
    <row r="590" ht="15.75" customHeight="1">
      <c r="E590" s="1"/>
    </row>
    <row r="591" ht="15.75" customHeight="1">
      <c r="E591" s="1"/>
    </row>
    <row r="592" ht="15.75" customHeight="1">
      <c r="E592" s="1"/>
    </row>
    <row r="593" ht="15.75" customHeight="1">
      <c r="E593" s="1"/>
    </row>
    <row r="594" ht="15.75" customHeight="1">
      <c r="E594" s="1"/>
    </row>
    <row r="595" ht="15.75" customHeight="1">
      <c r="E595" s="1"/>
    </row>
    <row r="596" ht="15.75" customHeight="1">
      <c r="E596" s="1"/>
    </row>
    <row r="597" ht="15.75" customHeight="1">
      <c r="E597" s="1"/>
    </row>
    <row r="598" ht="15.75" customHeight="1">
      <c r="E598" s="1"/>
    </row>
    <row r="599" ht="15.75" customHeight="1">
      <c r="E599" s="1"/>
    </row>
    <row r="600" ht="15.75" customHeight="1">
      <c r="E600" s="1"/>
    </row>
    <row r="601" ht="15.75" customHeight="1">
      <c r="E601" s="1"/>
    </row>
    <row r="602" ht="15.75" customHeight="1">
      <c r="E602" s="1"/>
    </row>
    <row r="603" ht="15.75" customHeight="1">
      <c r="E603" s="1"/>
    </row>
    <row r="604" ht="15.75" customHeight="1">
      <c r="E604" s="1"/>
    </row>
    <row r="605" ht="15.75" customHeight="1">
      <c r="E605" s="1"/>
    </row>
    <row r="606" ht="15.75" customHeight="1">
      <c r="E606" s="1"/>
    </row>
    <row r="607" ht="15.75" customHeight="1">
      <c r="E607" s="1"/>
    </row>
    <row r="608" ht="15.75" customHeight="1">
      <c r="E608" s="1"/>
    </row>
    <row r="609" ht="15.75" customHeight="1">
      <c r="E609" s="1"/>
    </row>
    <row r="610" ht="15.75" customHeight="1">
      <c r="E610" s="1"/>
    </row>
    <row r="611" ht="15.75" customHeight="1">
      <c r="E611" s="1"/>
    </row>
    <row r="612" ht="15.75" customHeight="1">
      <c r="E612" s="1"/>
    </row>
    <row r="613" ht="15.75" customHeight="1">
      <c r="E613" s="1"/>
    </row>
    <row r="614" ht="15.75" customHeight="1">
      <c r="E614" s="1"/>
    </row>
    <row r="615" ht="15.75" customHeight="1">
      <c r="E615" s="1"/>
    </row>
    <row r="616" ht="15.75" customHeight="1">
      <c r="E616" s="1"/>
    </row>
    <row r="617" ht="15.75" customHeight="1">
      <c r="E617" s="1"/>
    </row>
    <row r="618" ht="15.75" customHeight="1">
      <c r="E618" s="1"/>
    </row>
    <row r="619" ht="15.75" customHeight="1">
      <c r="E619" s="1"/>
    </row>
    <row r="620" ht="15.75" customHeight="1">
      <c r="E620" s="1"/>
    </row>
    <row r="621" ht="15.75" customHeight="1">
      <c r="E621" s="1"/>
    </row>
    <row r="622" ht="15.75" customHeight="1">
      <c r="E622" s="1"/>
    </row>
    <row r="623" ht="15.75" customHeight="1">
      <c r="E623" s="1"/>
    </row>
    <row r="624" ht="15.75" customHeight="1">
      <c r="E624" s="1"/>
    </row>
    <row r="625" ht="15.75" customHeight="1">
      <c r="E625" s="1"/>
    </row>
    <row r="626" ht="15.75" customHeight="1">
      <c r="E626" s="1"/>
    </row>
    <row r="627" ht="15.75" customHeight="1">
      <c r="E627" s="1"/>
    </row>
    <row r="628" ht="15.75" customHeight="1">
      <c r="E628" s="1"/>
    </row>
    <row r="629" ht="15.75" customHeight="1">
      <c r="E629" s="1"/>
    </row>
    <row r="630" ht="15.75" customHeight="1">
      <c r="E630" s="1"/>
    </row>
    <row r="631" ht="15.75" customHeight="1">
      <c r="E631" s="1"/>
    </row>
    <row r="632" ht="15.75" customHeight="1">
      <c r="E632" s="1"/>
    </row>
    <row r="633" ht="15.75" customHeight="1">
      <c r="E633" s="1"/>
    </row>
    <row r="634" ht="15.75" customHeight="1">
      <c r="E634" s="1"/>
    </row>
    <row r="635" ht="15.75" customHeight="1">
      <c r="E635" s="1"/>
    </row>
    <row r="636" ht="15.75" customHeight="1">
      <c r="E636" s="1"/>
    </row>
    <row r="637" ht="15.75" customHeight="1">
      <c r="E637" s="1"/>
    </row>
    <row r="638" ht="15.75" customHeight="1">
      <c r="E638" s="1"/>
    </row>
    <row r="639" ht="15.75" customHeight="1">
      <c r="E639" s="1"/>
    </row>
    <row r="640" ht="15.75" customHeight="1">
      <c r="E640" s="1"/>
    </row>
    <row r="641" ht="15.75" customHeight="1">
      <c r="E641" s="1"/>
    </row>
    <row r="642" ht="15.75" customHeight="1">
      <c r="E642" s="1"/>
    </row>
    <row r="643" ht="15.75" customHeight="1">
      <c r="E643" s="1"/>
    </row>
    <row r="644" ht="15.75" customHeight="1">
      <c r="E644" s="1"/>
    </row>
    <row r="645" ht="15.75" customHeight="1">
      <c r="E645" s="1"/>
    </row>
    <row r="646" ht="15.75" customHeight="1">
      <c r="E646" s="1"/>
    </row>
    <row r="647" ht="15.75" customHeight="1">
      <c r="E647" s="1"/>
    </row>
    <row r="648" ht="15.75" customHeight="1">
      <c r="E648" s="1"/>
    </row>
    <row r="649" ht="15.75" customHeight="1">
      <c r="E649" s="1"/>
    </row>
    <row r="650" ht="15.75" customHeight="1">
      <c r="E650" s="1"/>
    </row>
    <row r="651" ht="15.75" customHeight="1">
      <c r="E651" s="1"/>
    </row>
    <row r="652" ht="15.75" customHeight="1">
      <c r="E652" s="1"/>
    </row>
    <row r="653" ht="15.75" customHeight="1">
      <c r="E653" s="1"/>
    </row>
    <row r="654" ht="15.75" customHeight="1">
      <c r="E654" s="1"/>
    </row>
    <row r="655" ht="15.75" customHeight="1">
      <c r="E655" s="1"/>
    </row>
    <row r="656" ht="15.75" customHeight="1">
      <c r="E656" s="1"/>
    </row>
    <row r="657" ht="15.75" customHeight="1">
      <c r="E657" s="1"/>
    </row>
    <row r="658" ht="15.75" customHeight="1">
      <c r="E658" s="1"/>
    </row>
    <row r="659" ht="15.75" customHeight="1">
      <c r="E659" s="1"/>
    </row>
    <row r="660" ht="15.75" customHeight="1">
      <c r="E660" s="1"/>
    </row>
    <row r="661" ht="15.75" customHeight="1">
      <c r="E661" s="1"/>
    </row>
    <row r="662" ht="15.75" customHeight="1">
      <c r="E662" s="1"/>
    </row>
    <row r="663" ht="15.75" customHeight="1">
      <c r="E663" s="1"/>
    </row>
    <row r="664" ht="15.75" customHeight="1">
      <c r="E664" s="1"/>
    </row>
    <row r="665" ht="15.75" customHeight="1">
      <c r="E665" s="1"/>
    </row>
    <row r="666" ht="15.75" customHeight="1">
      <c r="E666" s="1"/>
    </row>
    <row r="667" ht="15.75" customHeight="1">
      <c r="E667" s="1"/>
    </row>
    <row r="668" ht="15.75" customHeight="1">
      <c r="E668" s="1"/>
    </row>
    <row r="669" ht="15.75" customHeight="1">
      <c r="E669" s="1"/>
    </row>
    <row r="670" ht="15.75" customHeight="1">
      <c r="E670" s="1"/>
    </row>
    <row r="671" ht="15.75" customHeight="1">
      <c r="E671" s="1"/>
    </row>
    <row r="672" ht="15.75" customHeight="1">
      <c r="E672" s="1"/>
    </row>
    <row r="673" ht="15.75" customHeight="1">
      <c r="E673" s="1"/>
    </row>
    <row r="674" ht="15.75" customHeight="1">
      <c r="E674" s="1"/>
    </row>
    <row r="675" ht="15.75" customHeight="1">
      <c r="E675" s="1"/>
    </row>
    <row r="676" ht="15.75" customHeight="1">
      <c r="E676" s="1"/>
    </row>
    <row r="677" ht="15.75" customHeight="1">
      <c r="E677" s="1"/>
    </row>
    <row r="678" ht="15.75" customHeight="1">
      <c r="E678" s="1"/>
    </row>
    <row r="679" ht="15.75" customHeight="1">
      <c r="E679" s="1"/>
    </row>
    <row r="680" ht="15.75" customHeight="1">
      <c r="E680" s="1"/>
    </row>
    <row r="681" ht="15.75" customHeight="1">
      <c r="E681" s="1"/>
    </row>
    <row r="682" ht="15.75" customHeight="1">
      <c r="E682" s="1"/>
    </row>
    <row r="683" ht="15.75" customHeight="1">
      <c r="E683" s="1"/>
    </row>
    <row r="684" ht="15.75" customHeight="1">
      <c r="E684" s="1"/>
    </row>
    <row r="685" ht="15.75" customHeight="1">
      <c r="E685" s="1"/>
    </row>
    <row r="686" ht="15.75" customHeight="1">
      <c r="E686" s="1"/>
    </row>
    <row r="687" ht="15.75" customHeight="1">
      <c r="E687" s="1"/>
    </row>
    <row r="688" ht="15.75" customHeight="1">
      <c r="E688" s="1"/>
    </row>
    <row r="689" ht="15.75" customHeight="1">
      <c r="E689" s="1"/>
    </row>
    <row r="690" ht="15.75" customHeight="1">
      <c r="E690" s="1"/>
    </row>
    <row r="691" ht="15.75" customHeight="1">
      <c r="E691" s="1"/>
    </row>
    <row r="692" ht="15.75" customHeight="1">
      <c r="E692" s="1"/>
    </row>
    <row r="693" ht="15.75" customHeight="1">
      <c r="E693" s="1"/>
    </row>
    <row r="694" ht="15.75" customHeight="1">
      <c r="E694" s="1"/>
    </row>
    <row r="695" ht="15.75" customHeight="1">
      <c r="E695" s="1"/>
    </row>
    <row r="696" ht="15.75" customHeight="1">
      <c r="E696" s="1"/>
    </row>
    <row r="697" ht="15.75" customHeight="1">
      <c r="E697" s="1"/>
    </row>
    <row r="698" ht="15.75" customHeight="1">
      <c r="E698" s="1"/>
    </row>
    <row r="699" ht="15.75" customHeight="1">
      <c r="E699" s="1"/>
    </row>
    <row r="700" ht="15.75" customHeight="1">
      <c r="E700" s="1"/>
    </row>
    <row r="701" ht="15.75" customHeight="1">
      <c r="E701" s="1"/>
    </row>
    <row r="702" ht="15.75" customHeight="1">
      <c r="E702" s="1"/>
    </row>
    <row r="703" ht="15.75" customHeight="1">
      <c r="E703" s="1"/>
    </row>
    <row r="704" ht="15.75" customHeight="1">
      <c r="E704" s="1"/>
    </row>
    <row r="705" ht="15.75" customHeight="1">
      <c r="E705" s="1"/>
    </row>
    <row r="706" ht="15.75" customHeight="1">
      <c r="E706" s="1"/>
    </row>
    <row r="707" ht="15.75" customHeight="1">
      <c r="E707" s="1"/>
    </row>
    <row r="708" ht="15.75" customHeight="1">
      <c r="E708" s="1"/>
    </row>
    <row r="709" ht="15.75" customHeight="1">
      <c r="E709" s="1"/>
    </row>
    <row r="710" ht="15.75" customHeight="1">
      <c r="E710" s="1"/>
    </row>
    <row r="711" ht="15.75" customHeight="1">
      <c r="E711" s="1"/>
    </row>
    <row r="712" ht="15.75" customHeight="1">
      <c r="E712" s="1"/>
    </row>
    <row r="713" ht="15.75" customHeight="1">
      <c r="E713" s="1"/>
    </row>
    <row r="714" ht="15.75" customHeight="1">
      <c r="E714" s="1"/>
    </row>
    <row r="715" ht="15.75" customHeight="1">
      <c r="E715" s="1"/>
    </row>
    <row r="716" ht="15.75" customHeight="1">
      <c r="E716" s="1"/>
    </row>
    <row r="717" ht="15.75" customHeight="1">
      <c r="E717" s="1"/>
    </row>
    <row r="718" ht="15.75" customHeight="1">
      <c r="E718" s="1"/>
    </row>
    <row r="719" ht="15.75" customHeight="1">
      <c r="E719" s="1"/>
    </row>
    <row r="720" ht="15.75" customHeight="1">
      <c r="E720" s="1"/>
    </row>
    <row r="721" ht="15.75" customHeight="1">
      <c r="E721" s="1"/>
    </row>
    <row r="722" ht="15.75" customHeight="1">
      <c r="E722" s="1"/>
    </row>
    <row r="723" ht="15.75" customHeight="1">
      <c r="E723" s="1"/>
    </row>
    <row r="724" ht="15.75" customHeight="1">
      <c r="E724" s="1"/>
    </row>
    <row r="725" ht="15.75" customHeight="1">
      <c r="E725" s="1"/>
    </row>
    <row r="726" ht="15.75" customHeight="1">
      <c r="E726" s="1"/>
    </row>
    <row r="727" ht="15.75" customHeight="1">
      <c r="E727" s="1"/>
    </row>
    <row r="728" ht="15.75" customHeight="1">
      <c r="E728" s="1"/>
    </row>
    <row r="729" ht="15.75" customHeight="1">
      <c r="E729" s="1"/>
    </row>
    <row r="730" ht="15.75" customHeight="1">
      <c r="E730" s="1"/>
    </row>
    <row r="731" ht="15.75" customHeight="1">
      <c r="E731" s="1"/>
    </row>
    <row r="732" ht="15.75" customHeight="1">
      <c r="E732" s="1"/>
    </row>
    <row r="733" ht="15.75" customHeight="1">
      <c r="E733" s="1"/>
    </row>
    <row r="734" ht="15.75" customHeight="1">
      <c r="E734" s="1"/>
    </row>
    <row r="735" ht="15.75" customHeight="1">
      <c r="E735" s="1"/>
    </row>
    <row r="736" ht="15.75" customHeight="1">
      <c r="E736" s="1"/>
    </row>
    <row r="737" ht="15.75" customHeight="1">
      <c r="E737" s="1"/>
    </row>
    <row r="738" ht="15.75" customHeight="1">
      <c r="E738" s="1"/>
    </row>
    <row r="739" ht="15.75" customHeight="1">
      <c r="E739" s="1"/>
    </row>
    <row r="740" ht="15.75" customHeight="1">
      <c r="E740" s="1"/>
    </row>
    <row r="741" ht="15.75" customHeight="1">
      <c r="E741" s="1"/>
    </row>
    <row r="742" ht="15.75" customHeight="1">
      <c r="E742" s="1"/>
    </row>
    <row r="743" ht="15.75" customHeight="1">
      <c r="E743" s="1"/>
    </row>
    <row r="744" ht="15.75" customHeight="1">
      <c r="E744" s="1"/>
    </row>
    <row r="745" ht="15.75" customHeight="1">
      <c r="E745" s="1"/>
    </row>
    <row r="746" ht="15.75" customHeight="1">
      <c r="E746" s="1"/>
    </row>
    <row r="747" ht="15.75" customHeight="1">
      <c r="E747" s="1"/>
    </row>
    <row r="748" ht="15.75" customHeight="1">
      <c r="E748" s="1"/>
    </row>
    <row r="749" ht="15.75" customHeight="1">
      <c r="E749" s="1"/>
    </row>
    <row r="750" ht="15.75" customHeight="1">
      <c r="E750" s="1"/>
    </row>
    <row r="751" ht="15.75" customHeight="1">
      <c r="E751" s="1"/>
    </row>
  </sheetData>
  <conditionalFormatting sqref="A108">
    <cfRule type="colorScale" priority="1">
      <colorScale>
        <cfvo type="min"/>
        <cfvo type="max"/>
        <color rgb="FF00FFFF"/>
        <color rgb="FFFFD666"/>
      </colorScale>
    </cfRule>
  </conditionalFormatting>
  <conditionalFormatting sqref="A3:D108 E3:E110 F3:AA108">
    <cfRule type="notContainsBlanks" dxfId="5" priority="2">
      <formula>LEN(TRIM(A3))&gt;0</formula>
    </cfRule>
  </conditionalFormatting>
  <conditionalFormatting sqref="I15">
    <cfRule type="notContainsBlanks" dxfId="6" priority="3">
      <formula>LEN(TRIM(I15))&gt;0</formula>
    </cfRule>
  </conditionalFormatting>
  <conditionalFormatting sqref="A3:A108">
    <cfRule type="notContainsBlanks" dxfId="5" priority="4">
      <formula>LEN(TRIM(A3))&gt;0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2.86"/>
    <col customWidth="1" min="2" max="4" width="10.71"/>
    <col customWidth="1" min="5" max="5" width="17.14"/>
    <col customWidth="1" min="6" max="6" width="20.57"/>
    <col customWidth="1" min="7" max="7" width="14.14"/>
    <col customWidth="1" min="8" max="27" width="10.71"/>
  </cols>
  <sheetData>
    <row r="1" ht="36.75" customHeight="1">
      <c r="A1" s="19" t="s">
        <v>178</v>
      </c>
      <c r="B1" s="19" t="s">
        <v>179</v>
      </c>
      <c r="C1" s="19" t="s">
        <v>180</v>
      </c>
      <c r="D1" s="20"/>
      <c r="E1" s="21" t="s">
        <v>181</v>
      </c>
      <c r="F1" s="22" t="s">
        <v>182</v>
      </c>
      <c r="G1" s="23" t="s">
        <v>183</v>
      </c>
      <c r="H1" s="23">
        <v>1485.0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ht="36.75" customHeight="1">
      <c r="A2" s="24" t="s">
        <v>184</v>
      </c>
      <c r="B2" s="25">
        <v>1650.0</v>
      </c>
      <c r="C2" s="26">
        <v>1.105</v>
      </c>
      <c r="D2" s="27">
        <f t="shared" ref="D2:D7" si="1">B2*C2</f>
        <v>1823.25</v>
      </c>
      <c r="E2" s="28">
        <f t="shared" ref="E2:E7" si="2">D2*1.3+10</f>
        <v>2380.225</v>
      </c>
      <c r="F2" s="29">
        <f>E2*H1</f>
        <v>3534634.125</v>
      </c>
      <c r="G2" s="23"/>
      <c r="H2" s="23" t="s">
        <v>185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30" t="s">
        <v>186</v>
      </c>
      <c r="B3" s="31">
        <v>1300.0</v>
      </c>
      <c r="C3" s="26">
        <v>1.105</v>
      </c>
      <c r="D3" s="27">
        <f t="shared" si="1"/>
        <v>1436.5</v>
      </c>
      <c r="E3" s="28">
        <f t="shared" si="2"/>
        <v>1877.45</v>
      </c>
      <c r="F3" s="29">
        <f>E3*H1</f>
        <v>2788013.25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23.25" customHeight="1">
      <c r="A4" s="24" t="s">
        <v>187</v>
      </c>
      <c r="B4" s="25">
        <v>1850.0</v>
      </c>
      <c r="C4" s="26">
        <v>1.105</v>
      </c>
      <c r="D4" s="27">
        <f t="shared" si="1"/>
        <v>2044.25</v>
      </c>
      <c r="E4" s="28">
        <f t="shared" si="2"/>
        <v>2667.525</v>
      </c>
      <c r="F4" s="29">
        <f>E4*H1</f>
        <v>3961274.625</v>
      </c>
      <c r="G4" s="23"/>
      <c r="H4" s="23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23.25" customHeight="1">
      <c r="A5" s="24" t="s">
        <v>188</v>
      </c>
      <c r="B5" s="25">
        <v>2150.0</v>
      </c>
      <c r="C5" s="26">
        <v>1.105</v>
      </c>
      <c r="D5" s="27">
        <f t="shared" si="1"/>
        <v>2375.75</v>
      </c>
      <c r="E5" s="28">
        <f t="shared" si="2"/>
        <v>3098.475</v>
      </c>
      <c r="F5" s="29">
        <f>E5*H1</f>
        <v>4601235.375</v>
      </c>
      <c r="G5" s="23"/>
      <c r="H5" s="23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32" t="s">
        <v>189</v>
      </c>
      <c r="B6" s="31">
        <v>2400.0</v>
      </c>
      <c r="C6" s="26">
        <v>1.105</v>
      </c>
      <c r="D6" s="27">
        <f t="shared" si="1"/>
        <v>2652</v>
      </c>
      <c r="E6" s="28">
        <f t="shared" si="2"/>
        <v>3457.6</v>
      </c>
      <c r="F6" s="29">
        <f>E6*H1</f>
        <v>5134536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>
      <c r="A7" s="30" t="s">
        <v>190</v>
      </c>
      <c r="B7" s="31">
        <v>550.0</v>
      </c>
      <c r="C7" s="26">
        <v>1.105</v>
      </c>
      <c r="D7" s="27">
        <f t="shared" si="1"/>
        <v>607.75</v>
      </c>
      <c r="E7" s="28">
        <f t="shared" si="2"/>
        <v>800.075</v>
      </c>
      <c r="F7" s="29">
        <f>E7*H1</f>
        <v>1188111.375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9">
      <c r="A9" s="30" t="s">
        <v>191</v>
      </c>
      <c r="B9" s="31">
        <v>290.0</v>
      </c>
      <c r="C9" s="26">
        <v>1.105</v>
      </c>
      <c r="D9" s="27">
        <f t="shared" ref="D9:D10" si="3">B9*C9</f>
        <v>320.45</v>
      </c>
      <c r="E9" s="28">
        <f t="shared" ref="E9:E10" si="4">D9*1.3+10</f>
        <v>426.585</v>
      </c>
      <c r="F9" s="29">
        <f>E9*H1</f>
        <v>633478.725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30" t="s">
        <v>192</v>
      </c>
      <c r="B10" s="31">
        <v>120.0</v>
      </c>
      <c r="C10" s="26">
        <v>1.21</v>
      </c>
      <c r="D10" s="27">
        <f t="shared" si="3"/>
        <v>145.2</v>
      </c>
      <c r="E10" s="28">
        <f t="shared" si="4"/>
        <v>198.76</v>
      </c>
      <c r="F10" s="29">
        <f>E10*H1</f>
        <v>295158.6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30"/>
      <c r="B11" s="31"/>
      <c r="C11" s="26"/>
      <c r="D11" s="27"/>
      <c r="E11" s="28"/>
      <c r="F11" s="29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30" t="s">
        <v>193</v>
      </c>
      <c r="B12" s="31">
        <v>16.0</v>
      </c>
      <c r="C12" s="26">
        <f>B12*1.21</f>
        <v>19.36</v>
      </c>
      <c r="D12" s="27">
        <f t="shared" ref="D12:D44" si="5">B12*C12</f>
        <v>309.76</v>
      </c>
      <c r="E12" s="28">
        <f t="shared" ref="E12:E25" si="6">D12*1.3+10</f>
        <v>412.688</v>
      </c>
      <c r="F12" s="29">
        <f>E12*H1</f>
        <v>612841.68</v>
      </c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33" t="s">
        <v>194</v>
      </c>
      <c r="B13" s="31">
        <v>520.0</v>
      </c>
      <c r="C13" s="26">
        <v>1.105</v>
      </c>
      <c r="D13" s="27">
        <f t="shared" si="5"/>
        <v>574.6</v>
      </c>
      <c r="E13" s="28">
        <f t="shared" si="6"/>
        <v>756.98</v>
      </c>
      <c r="F13" s="29">
        <f>E13*H1</f>
        <v>1124115.3</v>
      </c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34" t="s">
        <v>195</v>
      </c>
      <c r="B14" s="35">
        <v>260.0</v>
      </c>
      <c r="C14" s="26">
        <v>1.105</v>
      </c>
      <c r="D14" s="27">
        <f t="shared" si="5"/>
        <v>287.3</v>
      </c>
      <c r="E14" s="28">
        <f t="shared" si="6"/>
        <v>383.49</v>
      </c>
      <c r="F14" s="29">
        <f>E14*H1</f>
        <v>569482.65</v>
      </c>
      <c r="G14" s="20"/>
      <c r="H14" s="20"/>
      <c r="I14" s="20"/>
      <c r="J14" s="20"/>
      <c r="K14" s="20"/>
      <c r="L14" s="20"/>
      <c r="M14" s="20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6"/>
    </row>
    <row r="15">
      <c r="A15" s="37" t="s">
        <v>196</v>
      </c>
      <c r="B15" s="35">
        <v>270.0</v>
      </c>
      <c r="C15" s="26">
        <v>1.105</v>
      </c>
      <c r="D15" s="27">
        <f t="shared" si="5"/>
        <v>298.35</v>
      </c>
      <c r="E15" s="28">
        <f t="shared" si="6"/>
        <v>397.855</v>
      </c>
      <c r="F15" s="29">
        <f>E15*H1</f>
        <v>590814.675</v>
      </c>
      <c r="G15" s="20"/>
      <c r="H15" s="20"/>
      <c r="I15" s="20"/>
      <c r="J15" s="20"/>
      <c r="K15" s="20"/>
      <c r="L15" s="20"/>
      <c r="M15" s="20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8"/>
    </row>
    <row r="16">
      <c r="A16" s="34" t="s">
        <v>197</v>
      </c>
      <c r="B16" s="35">
        <v>330.0</v>
      </c>
      <c r="C16" s="26">
        <v>1.105</v>
      </c>
      <c r="D16" s="27">
        <f t="shared" si="5"/>
        <v>364.65</v>
      </c>
      <c r="E16" s="28">
        <f t="shared" si="6"/>
        <v>484.045</v>
      </c>
      <c r="F16" s="29">
        <f>E16*H1</f>
        <v>718806.825</v>
      </c>
      <c r="G16" s="20"/>
      <c r="H16" s="20"/>
      <c r="I16" s="20"/>
      <c r="J16" s="20"/>
      <c r="K16" s="20"/>
      <c r="L16" s="20"/>
      <c r="M16" s="20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9"/>
    </row>
    <row r="17">
      <c r="A17" s="34" t="s">
        <v>198</v>
      </c>
      <c r="B17" s="35">
        <v>340.0</v>
      </c>
      <c r="C17" s="26">
        <v>1.105</v>
      </c>
      <c r="D17" s="27">
        <f t="shared" si="5"/>
        <v>375.7</v>
      </c>
      <c r="E17" s="28">
        <f t="shared" si="6"/>
        <v>498.41</v>
      </c>
      <c r="F17" s="29">
        <f>E17*H1</f>
        <v>740138.85</v>
      </c>
      <c r="G17" s="20"/>
      <c r="H17" s="20"/>
      <c r="I17" s="20"/>
      <c r="J17" s="20"/>
      <c r="K17" s="20"/>
      <c r="L17" s="20"/>
      <c r="M17" s="20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8"/>
    </row>
    <row r="18">
      <c r="A18" s="34" t="s">
        <v>199</v>
      </c>
      <c r="B18" s="35">
        <v>850.0</v>
      </c>
      <c r="C18" s="26">
        <v>1.105</v>
      </c>
      <c r="D18" s="27">
        <f t="shared" si="5"/>
        <v>939.25</v>
      </c>
      <c r="E18" s="28">
        <f t="shared" si="6"/>
        <v>1231.025</v>
      </c>
      <c r="F18" s="29">
        <f>E18*H1</f>
        <v>1828072.125</v>
      </c>
      <c r="G18" s="20"/>
      <c r="H18" s="20"/>
      <c r="I18" s="20"/>
      <c r="J18" s="20"/>
      <c r="K18" s="20"/>
      <c r="L18" s="20"/>
      <c r="M18" s="20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6"/>
    </row>
    <row r="19">
      <c r="A19" s="34" t="s">
        <v>200</v>
      </c>
      <c r="B19" s="35">
        <v>900.0</v>
      </c>
      <c r="C19" s="26">
        <v>1.105</v>
      </c>
      <c r="D19" s="27">
        <f t="shared" si="5"/>
        <v>994.5</v>
      </c>
      <c r="E19" s="28">
        <f t="shared" si="6"/>
        <v>1302.85</v>
      </c>
      <c r="F19" s="29">
        <f>E19*H1</f>
        <v>1934732.25</v>
      </c>
      <c r="G19" s="20"/>
      <c r="H19" s="20"/>
      <c r="I19" s="20"/>
      <c r="J19" s="20"/>
      <c r="K19" s="20"/>
      <c r="L19" s="20"/>
      <c r="M19" s="20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6"/>
    </row>
    <row r="20">
      <c r="A20" s="34" t="s">
        <v>201</v>
      </c>
      <c r="B20" s="35">
        <v>950.0</v>
      </c>
      <c r="C20" s="26">
        <v>1.105</v>
      </c>
      <c r="D20" s="27">
        <f t="shared" si="5"/>
        <v>1049.75</v>
      </c>
      <c r="E20" s="28">
        <f t="shared" si="6"/>
        <v>1374.675</v>
      </c>
      <c r="F20" s="29">
        <f>E20*H1</f>
        <v>2041392.375</v>
      </c>
      <c r="G20" s="20"/>
      <c r="H20" s="20"/>
      <c r="I20" s="20"/>
      <c r="J20" s="20"/>
      <c r="K20" s="20"/>
      <c r="L20" s="20"/>
      <c r="M20" s="20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6"/>
    </row>
    <row r="21">
      <c r="A21" s="34" t="s">
        <v>202</v>
      </c>
      <c r="B21" s="35">
        <v>1000.0</v>
      </c>
      <c r="C21" s="26">
        <v>1.105</v>
      </c>
      <c r="D21" s="27">
        <f t="shared" si="5"/>
        <v>1105</v>
      </c>
      <c r="E21" s="28">
        <f t="shared" si="6"/>
        <v>1446.5</v>
      </c>
      <c r="F21" s="29">
        <f>E21*H1</f>
        <v>2148052.5</v>
      </c>
      <c r="G21" s="20"/>
      <c r="H21" s="20"/>
      <c r="I21" s="20"/>
      <c r="J21" s="20"/>
      <c r="K21" s="20"/>
      <c r="L21" s="20"/>
      <c r="M21" s="20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6"/>
    </row>
    <row r="22">
      <c r="A22" s="34" t="s">
        <v>203</v>
      </c>
      <c r="B22" s="35">
        <v>1200.0</v>
      </c>
      <c r="C22" s="26">
        <v>1.105</v>
      </c>
      <c r="D22" s="27">
        <f t="shared" si="5"/>
        <v>1326</v>
      </c>
      <c r="E22" s="28">
        <f t="shared" si="6"/>
        <v>1733.8</v>
      </c>
      <c r="F22" s="29">
        <f>E22*H1</f>
        <v>2574693</v>
      </c>
      <c r="G22" s="20"/>
      <c r="H22" s="20"/>
      <c r="I22" s="20"/>
      <c r="J22" s="20"/>
      <c r="K22" s="20"/>
      <c r="L22" s="20"/>
      <c r="M22" s="20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6"/>
    </row>
    <row r="23">
      <c r="A23" s="40" t="s">
        <v>204</v>
      </c>
      <c r="B23" s="41">
        <v>1300.0</v>
      </c>
      <c r="C23" s="42">
        <v>1.105</v>
      </c>
      <c r="D23" s="43">
        <f t="shared" si="5"/>
        <v>1436.5</v>
      </c>
      <c r="E23" s="28">
        <f t="shared" si="6"/>
        <v>1877.45</v>
      </c>
      <c r="F23" s="44">
        <f>E23*H1</f>
        <v>2788013.25</v>
      </c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</row>
    <row r="24">
      <c r="A24" s="20" t="s">
        <v>205</v>
      </c>
      <c r="B24" s="45">
        <v>50.0</v>
      </c>
      <c r="C24" s="23">
        <v>1.21</v>
      </c>
      <c r="D24" s="46">
        <f t="shared" si="5"/>
        <v>60.5</v>
      </c>
      <c r="E24" s="28">
        <f t="shared" si="6"/>
        <v>88.65</v>
      </c>
      <c r="F24" s="47">
        <f>E24*H1</f>
        <v>131645.25</v>
      </c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</row>
    <row r="25">
      <c r="A25" s="20" t="s">
        <v>206</v>
      </c>
      <c r="B25" s="45">
        <v>30.0</v>
      </c>
      <c r="C25" s="23">
        <v>1.21</v>
      </c>
      <c r="D25" s="46">
        <f t="shared" si="5"/>
        <v>36.3</v>
      </c>
      <c r="E25" s="28">
        <f t="shared" si="6"/>
        <v>57.19</v>
      </c>
      <c r="F25" s="47">
        <f>E25*H1</f>
        <v>84927.15</v>
      </c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</row>
    <row r="26">
      <c r="A26" s="20" t="s">
        <v>207</v>
      </c>
      <c r="B26" s="45">
        <v>14.0</v>
      </c>
      <c r="C26" s="23">
        <v>1.21</v>
      </c>
      <c r="D26" s="46">
        <f t="shared" si="5"/>
        <v>16.94</v>
      </c>
      <c r="E26" s="28">
        <f t="shared" ref="E26:E27" si="7">D26*1.3</f>
        <v>22.022</v>
      </c>
      <c r="F26" s="47">
        <f>E26*H1</f>
        <v>32702.67</v>
      </c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>
      <c r="A27" s="20" t="s">
        <v>208</v>
      </c>
      <c r="B27" s="45">
        <v>18.0</v>
      </c>
      <c r="C27" s="23">
        <v>1.21</v>
      </c>
      <c r="D27" s="46">
        <f t="shared" si="5"/>
        <v>21.78</v>
      </c>
      <c r="E27" s="28">
        <f t="shared" si="7"/>
        <v>28.314</v>
      </c>
      <c r="F27" s="47">
        <f>E27*H1</f>
        <v>42046.29</v>
      </c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>
      <c r="A28" s="34" t="s">
        <v>209</v>
      </c>
      <c r="B28" s="35">
        <v>2.8</v>
      </c>
      <c r="C28" s="33">
        <v>1.21</v>
      </c>
      <c r="D28" s="27">
        <f t="shared" si="5"/>
        <v>3.388</v>
      </c>
      <c r="E28" s="28">
        <f t="shared" ref="E28:E44" si="8">D28*1.3+10</f>
        <v>14.4044</v>
      </c>
      <c r="F28" s="29">
        <f>E28*H1</f>
        <v>21390.534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6"/>
    </row>
    <row r="29">
      <c r="A29" s="34" t="s">
        <v>210</v>
      </c>
      <c r="B29" s="35">
        <v>27.0</v>
      </c>
      <c r="C29" s="33">
        <v>1.21</v>
      </c>
      <c r="D29" s="27">
        <f t="shared" si="5"/>
        <v>32.67</v>
      </c>
      <c r="E29" s="28">
        <f t="shared" si="8"/>
        <v>52.471</v>
      </c>
      <c r="F29" s="29">
        <f>E29*H1</f>
        <v>77919.435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6"/>
    </row>
    <row r="30">
      <c r="A30" s="20" t="s">
        <v>211</v>
      </c>
      <c r="B30" s="45">
        <v>27.0</v>
      </c>
      <c r="C30" s="23">
        <v>1.21</v>
      </c>
      <c r="D30" s="46">
        <f t="shared" si="5"/>
        <v>32.67</v>
      </c>
      <c r="E30" s="28">
        <f t="shared" si="8"/>
        <v>52.471</v>
      </c>
      <c r="F30" s="47">
        <f>E30*H1</f>
        <v>77919.435</v>
      </c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>
      <c r="A31" s="20" t="s">
        <v>212</v>
      </c>
      <c r="B31" s="45">
        <v>33.0</v>
      </c>
      <c r="C31" s="23">
        <v>1.21</v>
      </c>
      <c r="D31" s="46">
        <f t="shared" si="5"/>
        <v>39.93</v>
      </c>
      <c r="E31" s="28">
        <f t="shared" si="8"/>
        <v>61.909</v>
      </c>
      <c r="F31" s="47">
        <f>E31*H1</f>
        <v>91934.865</v>
      </c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customHeight="1">
      <c r="A32" s="20" t="s">
        <v>213</v>
      </c>
      <c r="B32" s="45">
        <v>36.0</v>
      </c>
      <c r="C32" s="23">
        <v>1.21</v>
      </c>
      <c r="D32" s="46">
        <f t="shared" si="5"/>
        <v>43.56</v>
      </c>
      <c r="E32" s="28">
        <f t="shared" si="8"/>
        <v>66.628</v>
      </c>
      <c r="F32" s="48">
        <f>E32*H1</f>
        <v>98942.58</v>
      </c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customHeight="1">
      <c r="A33" s="20" t="s">
        <v>214</v>
      </c>
      <c r="B33" s="45">
        <v>27.0</v>
      </c>
      <c r="C33" s="23">
        <v>1.21</v>
      </c>
      <c r="D33" s="46">
        <f t="shared" si="5"/>
        <v>32.67</v>
      </c>
      <c r="E33" s="28">
        <f t="shared" si="8"/>
        <v>52.471</v>
      </c>
      <c r="F33" s="48">
        <f>E33*H1</f>
        <v>77919.435</v>
      </c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customHeight="1">
      <c r="A34" s="20" t="s">
        <v>215</v>
      </c>
      <c r="B34" s="45">
        <v>36.0</v>
      </c>
      <c r="C34" s="23">
        <v>1.21</v>
      </c>
      <c r="D34" s="46">
        <f t="shared" si="5"/>
        <v>43.56</v>
      </c>
      <c r="E34" s="28">
        <f t="shared" si="8"/>
        <v>66.628</v>
      </c>
      <c r="F34" s="48">
        <f>E34*H1</f>
        <v>98942.58</v>
      </c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customHeight="1">
      <c r="A35" s="20" t="s">
        <v>216</v>
      </c>
      <c r="B35" s="45">
        <v>60.0</v>
      </c>
      <c r="C35" s="23">
        <v>1.21</v>
      </c>
      <c r="D35" s="46">
        <f t="shared" si="5"/>
        <v>72.6</v>
      </c>
      <c r="E35" s="28">
        <f t="shared" si="8"/>
        <v>104.38</v>
      </c>
      <c r="F35" s="47">
        <f>E35*H1</f>
        <v>155004.3</v>
      </c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customHeight="1">
      <c r="A36" s="20" t="s">
        <v>217</v>
      </c>
      <c r="B36" s="45">
        <v>60.0</v>
      </c>
      <c r="C36" s="23">
        <v>1.21</v>
      </c>
      <c r="D36" s="46">
        <f t="shared" si="5"/>
        <v>72.6</v>
      </c>
      <c r="E36" s="28">
        <f t="shared" si="8"/>
        <v>104.38</v>
      </c>
      <c r="F36" s="47">
        <f>E36*H1</f>
        <v>155004.3</v>
      </c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customHeight="1">
      <c r="A37" s="20" t="s">
        <v>211</v>
      </c>
      <c r="B37" s="45">
        <v>36.0</v>
      </c>
      <c r="C37" s="23">
        <v>1.21</v>
      </c>
      <c r="D37" s="46">
        <f t="shared" si="5"/>
        <v>43.56</v>
      </c>
      <c r="E37" s="28">
        <f t="shared" si="8"/>
        <v>66.628</v>
      </c>
      <c r="F37" s="47">
        <f>E37*H1</f>
        <v>98942.58</v>
      </c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customHeight="1">
      <c r="A38" s="20" t="s">
        <v>218</v>
      </c>
      <c r="B38" s="45">
        <v>36.0</v>
      </c>
      <c r="C38" s="23">
        <v>1.21</v>
      </c>
      <c r="D38" s="46">
        <f t="shared" si="5"/>
        <v>43.56</v>
      </c>
      <c r="E38" s="28">
        <f t="shared" si="8"/>
        <v>66.628</v>
      </c>
      <c r="F38" s="47">
        <f>E38*H1</f>
        <v>98942.58</v>
      </c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customHeight="1">
      <c r="A39" s="20" t="s">
        <v>219</v>
      </c>
      <c r="B39" s="45">
        <v>36.0</v>
      </c>
      <c r="C39" s="23">
        <v>1.21</v>
      </c>
      <c r="D39" s="46">
        <f t="shared" si="5"/>
        <v>43.56</v>
      </c>
      <c r="E39" s="28">
        <f t="shared" si="8"/>
        <v>66.628</v>
      </c>
      <c r="F39" s="47">
        <f>E39*H1</f>
        <v>98942.58</v>
      </c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customHeight="1">
      <c r="A40" s="20" t="s">
        <v>220</v>
      </c>
      <c r="B40" s="45">
        <v>40.0</v>
      </c>
      <c r="C40" s="23">
        <v>1.21</v>
      </c>
      <c r="D40" s="46">
        <f t="shared" si="5"/>
        <v>48.4</v>
      </c>
      <c r="E40" s="28">
        <f t="shared" si="8"/>
        <v>72.92</v>
      </c>
      <c r="F40" s="47">
        <f>E40*H1</f>
        <v>108286.2</v>
      </c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customHeight="1">
      <c r="A41" s="20" t="s">
        <v>221</v>
      </c>
      <c r="B41" s="45">
        <v>60.0</v>
      </c>
      <c r="C41" s="23">
        <v>1.21</v>
      </c>
      <c r="D41" s="46">
        <f t="shared" si="5"/>
        <v>72.6</v>
      </c>
      <c r="E41" s="28">
        <f t="shared" si="8"/>
        <v>104.38</v>
      </c>
      <c r="F41" s="47">
        <f>E41*H1</f>
        <v>155004.3</v>
      </c>
      <c r="G41" s="23">
        <v>1.0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customHeight="1">
      <c r="A42" s="23" t="s">
        <v>222</v>
      </c>
      <c r="B42" s="45">
        <v>70.0</v>
      </c>
      <c r="C42" s="23">
        <v>1.21</v>
      </c>
      <c r="D42" s="46">
        <f t="shared" si="5"/>
        <v>84.7</v>
      </c>
      <c r="E42" s="28">
        <f t="shared" si="8"/>
        <v>120.11</v>
      </c>
      <c r="F42" s="47">
        <f>E42*H1</f>
        <v>178363.35</v>
      </c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customHeight="1">
      <c r="A43" s="20" t="s">
        <v>223</v>
      </c>
      <c r="B43" s="45">
        <v>85.0</v>
      </c>
      <c r="C43" s="23">
        <v>1.21</v>
      </c>
      <c r="D43" s="46">
        <f t="shared" si="5"/>
        <v>102.85</v>
      </c>
      <c r="E43" s="28">
        <f t="shared" si="8"/>
        <v>143.705</v>
      </c>
      <c r="F43" s="47">
        <f>E43*H1</f>
        <v>213401.925</v>
      </c>
      <c r="G43" s="23">
        <v>1.0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customHeight="1">
      <c r="A44" s="20" t="s">
        <v>224</v>
      </c>
      <c r="B44" s="45">
        <v>55.0</v>
      </c>
      <c r="C44" s="23">
        <v>1.21</v>
      </c>
      <c r="D44" s="46">
        <f t="shared" si="5"/>
        <v>66.55</v>
      </c>
      <c r="E44" s="28">
        <f t="shared" si="8"/>
        <v>96.515</v>
      </c>
      <c r="F44" s="47">
        <f>E44*H1</f>
        <v>143324.775</v>
      </c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  <c r="V245" s="20"/>
      <c r="W245" s="20"/>
      <c r="X245" s="20"/>
      <c r="Y245" s="20"/>
      <c r="Z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  <c r="V355" s="20"/>
      <c r="W355" s="20"/>
      <c r="X355" s="20"/>
      <c r="Y355" s="20"/>
      <c r="Z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  <c r="Q440" s="20"/>
      <c r="R440" s="20"/>
      <c r="S440" s="20"/>
      <c r="T440" s="20"/>
      <c r="U440" s="20"/>
      <c r="V440" s="20"/>
      <c r="W440" s="20"/>
      <c r="X440" s="20"/>
      <c r="Y440" s="20"/>
      <c r="Z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  <c r="V441" s="20"/>
      <c r="W441" s="20"/>
      <c r="X441" s="20"/>
      <c r="Y441" s="20"/>
      <c r="Z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  <c r="Q442" s="20"/>
      <c r="R442" s="20"/>
      <c r="S442" s="20"/>
      <c r="T442" s="20"/>
      <c r="U442" s="20"/>
      <c r="V442" s="20"/>
      <c r="W442" s="20"/>
      <c r="X442" s="20"/>
      <c r="Y442" s="20"/>
      <c r="Z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  <c r="Q443" s="20"/>
      <c r="R443" s="20"/>
      <c r="S443" s="20"/>
      <c r="T443" s="20"/>
      <c r="U443" s="20"/>
      <c r="V443" s="20"/>
      <c r="W443" s="20"/>
      <c r="X443" s="20"/>
      <c r="Y443" s="20"/>
      <c r="Z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  <c r="Q444" s="20"/>
      <c r="R444" s="20"/>
      <c r="S444" s="20"/>
      <c r="T444" s="20"/>
      <c r="U444" s="20"/>
      <c r="V444" s="20"/>
      <c r="W444" s="20"/>
      <c r="X444" s="20"/>
      <c r="Y444" s="20"/>
      <c r="Z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  <c r="Q445" s="20"/>
      <c r="R445" s="20"/>
      <c r="S445" s="20"/>
      <c r="T445" s="20"/>
      <c r="U445" s="20"/>
      <c r="V445" s="20"/>
      <c r="W445" s="20"/>
      <c r="X445" s="20"/>
      <c r="Y445" s="20"/>
      <c r="Z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  <c r="V447" s="20"/>
      <c r="W447" s="20"/>
      <c r="X447" s="20"/>
      <c r="Y447" s="20"/>
      <c r="Z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  <c r="Q448" s="20"/>
      <c r="R448" s="20"/>
      <c r="S448" s="20"/>
      <c r="T448" s="20"/>
      <c r="U448" s="20"/>
      <c r="V448" s="20"/>
      <c r="W448" s="20"/>
      <c r="X448" s="20"/>
      <c r="Y448" s="20"/>
      <c r="Z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  <c r="Q449" s="20"/>
      <c r="R449" s="20"/>
      <c r="S449" s="20"/>
      <c r="T449" s="20"/>
      <c r="U449" s="20"/>
      <c r="V449" s="20"/>
      <c r="W449" s="20"/>
      <c r="X449" s="20"/>
      <c r="Y449" s="20"/>
      <c r="Z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  <c r="Q450" s="20"/>
      <c r="R450" s="20"/>
      <c r="S450" s="20"/>
      <c r="T450" s="20"/>
      <c r="U450" s="20"/>
      <c r="V450" s="20"/>
      <c r="W450" s="20"/>
      <c r="X450" s="20"/>
      <c r="Y450" s="20"/>
      <c r="Z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  <c r="Q451" s="20"/>
      <c r="R451" s="20"/>
      <c r="S451" s="20"/>
      <c r="T451" s="20"/>
      <c r="U451" s="20"/>
      <c r="V451" s="20"/>
      <c r="W451" s="20"/>
      <c r="X451" s="20"/>
      <c r="Y451" s="20"/>
      <c r="Z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  <c r="Q452" s="20"/>
      <c r="R452" s="20"/>
      <c r="S452" s="20"/>
      <c r="T452" s="20"/>
      <c r="U452" s="20"/>
      <c r="V452" s="20"/>
      <c r="W452" s="20"/>
      <c r="X452" s="20"/>
      <c r="Y452" s="20"/>
      <c r="Z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  <c r="V454" s="20"/>
      <c r="W454" s="20"/>
      <c r="X454" s="20"/>
      <c r="Y454" s="20"/>
      <c r="Z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  <c r="V455" s="20"/>
      <c r="W455" s="20"/>
      <c r="X455" s="20"/>
      <c r="Y455" s="20"/>
      <c r="Z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  <c r="V457" s="20"/>
      <c r="W457" s="20"/>
      <c r="X457" s="20"/>
      <c r="Y457" s="20"/>
      <c r="Z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  <c r="V458" s="20"/>
      <c r="W458" s="20"/>
      <c r="X458" s="20"/>
      <c r="Y458" s="20"/>
      <c r="Z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  <c r="Q459" s="20"/>
      <c r="R459" s="20"/>
      <c r="S459" s="20"/>
      <c r="T459" s="20"/>
      <c r="U459" s="20"/>
      <c r="V459" s="20"/>
      <c r="W459" s="20"/>
      <c r="X459" s="20"/>
      <c r="Y459" s="20"/>
      <c r="Z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  <c r="V460" s="20"/>
      <c r="W460" s="20"/>
      <c r="X460" s="20"/>
      <c r="Y460" s="20"/>
      <c r="Z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  <c r="Q461" s="20"/>
      <c r="R461" s="20"/>
      <c r="S461" s="20"/>
      <c r="T461" s="20"/>
      <c r="U461" s="20"/>
      <c r="V461" s="20"/>
      <c r="W461" s="20"/>
      <c r="X461" s="20"/>
      <c r="Y461" s="20"/>
      <c r="Z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  <c r="Q462" s="20"/>
      <c r="R462" s="20"/>
      <c r="S462" s="20"/>
      <c r="T462" s="20"/>
      <c r="U462" s="20"/>
      <c r="V462" s="20"/>
      <c r="W462" s="20"/>
      <c r="X462" s="20"/>
      <c r="Y462" s="20"/>
      <c r="Z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  <c r="Q463" s="20"/>
      <c r="R463" s="20"/>
      <c r="S463" s="20"/>
      <c r="T463" s="20"/>
      <c r="U463" s="20"/>
      <c r="V463" s="20"/>
      <c r="W463" s="20"/>
      <c r="X463" s="20"/>
      <c r="Y463" s="20"/>
      <c r="Z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  <c r="Q464" s="20"/>
      <c r="R464" s="20"/>
      <c r="S464" s="20"/>
      <c r="T464" s="20"/>
      <c r="U464" s="20"/>
      <c r="V464" s="20"/>
      <c r="W464" s="20"/>
      <c r="X464" s="20"/>
      <c r="Y464" s="20"/>
      <c r="Z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  <c r="Q465" s="20"/>
      <c r="R465" s="20"/>
      <c r="S465" s="20"/>
      <c r="T465" s="20"/>
      <c r="U465" s="20"/>
      <c r="V465" s="20"/>
      <c r="W465" s="20"/>
      <c r="X465" s="20"/>
      <c r="Y465" s="20"/>
      <c r="Z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  <c r="Q466" s="20"/>
      <c r="R466" s="20"/>
      <c r="S466" s="20"/>
      <c r="T466" s="20"/>
      <c r="U466" s="20"/>
      <c r="V466" s="20"/>
      <c r="W466" s="20"/>
      <c r="X466" s="20"/>
      <c r="Y466" s="20"/>
      <c r="Z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  <c r="Q467" s="20"/>
      <c r="R467" s="20"/>
      <c r="S467" s="20"/>
      <c r="T467" s="20"/>
      <c r="U467" s="20"/>
      <c r="V467" s="20"/>
      <c r="W467" s="20"/>
      <c r="X467" s="20"/>
      <c r="Y467" s="20"/>
      <c r="Z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  <c r="Q468" s="20"/>
      <c r="R468" s="20"/>
      <c r="S468" s="20"/>
      <c r="T468" s="20"/>
      <c r="U468" s="20"/>
      <c r="V468" s="20"/>
      <c r="W468" s="20"/>
      <c r="X468" s="20"/>
      <c r="Y468" s="20"/>
      <c r="Z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  <c r="Q469" s="20"/>
      <c r="R469" s="20"/>
      <c r="S469" s="20"/>
      <c r="T469" s="20"/>
      <c r="U469" s="20"/>
      <c r="V469" s="20"/>
      <c r="W469" s="20"/>
      <c r="X469" s="20"/>
      <c r="Y469" s="20"/>
      <c r="Z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  <c r="Q470" s="20"/>
      <c r="R470" s="20"/>
      <c r="S470" s="20"/>
      <c r="T470" s="20"/>
      <c r="U470" s="20"/>
      <c r="V470" s="20"/>
      <c r="W470" s="20"/>
      <c r="X470" s="20"/>
      <c r="Y470" s="20"/>
      <c r="Z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  <c r="V471" s="20"/>
      <c r="W471" s="20"/>
      <c r="X471" s="20"/>
      <c r="Y471" s="20"/>
      <c r="Z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  <c r="V472" s="20"/>
      <c r="W472" s="20"/>
      <c r="X472" s="20"/>
      <c r="Y472" s="20"/>
      <c r="Z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  <c r="Q473" s="20"/>
      <c r="R473" s="20"/>
      <c r="S473" s="20"/>
      <c r="T473" s="20"/>
      <c r="U473" s="20"/>
      <c r="V473" s="20"/>
      <c r="W473" s="20"/>
      <c r="X473" s="20"/>
      <c r="Y473" s="20"/>
      <c r="Z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  <c r="V474" s="20"/>
      <c r="W474" s="20"/>
      <c r="X474" s="20"/>
      <c r="Y474" s="20"/>
      <c r="Z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  <c r="Q475" s="20"/>
      <c r="R475" s="20"/>
      <c r="S475" s="20"/>
      <c r="T475" s="20"/>
      <c r="U475" s="20"/>
      <c r="V475" s="20"/>
      <c r="W475" s="20"/>
      <c r="X475" s="20"/>
      <c r="Y475" s="20"/>
      <c r="Z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  <c r="V476" s="20"/>
      <c r="W476" s="20"/>
      <c r="X476" s="20"/>
      <c r="Y476" s="20"/>
      <c r="Z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  <c r="Q477" s="20"/>
      <c r="R477" s="20"/>
      <c r="S477" s="20"/>
      <c r="T477" s="20"/>
      <c r="U477" s="20"/>
      <c r="V477" s="20"/>
      <c r="W477" s="20"/>
      <c r="X477" s="20"/>
      <c r="Y477" s="20"/>
      <c r="Z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  <c r="Q478" s="20"/>
      <c r="R478" s="20"/>
      <c r="S478" s="20"/>
      <c r="T478" s="20"/>
      <c r="U478" s="20"/>
      <c r="V478" s="20"/>
      <c r="W478" s="20"/>
      <c r="X478" s="20"/>
      <c r="Y478" s="20"/>
      <c r="Z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  <c r="V479" s="20"/>
      <c r="W479" s="20"/>
      <c r="X479" s="20"/>
      <c r="Y479" s="20"/>
      <c r="Z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  <c r="V480" s="20"/>
      <c r="W480" s="20"/>
      <c r="X480" s="20"/>
      <c r="Y480" s="20"/>
      <c r="Z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0"/>
      <c r="S481" s="20"/>
      <c r="T481" s="20"/>
      <c r="U481" s="20"/>
      <c r="V481" s="20"/>
      <c r="W481" s="20"/>
      <c r="X481" s="20"/>
      <c r="Y481" s="20"/>
      <c r="Z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0"/>
      <c r="S482" s="20"/>
      <c r="T482" s="20"/>
      <c r="U482" s="20"/>
      <c r="V482" s="20"/>
      <c r="W482" s="20"/>
      <c r="X482" s="20"/>
      <c r="Y482" s="20"/>
      <c r="Z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  <c r="V484" s="20"/>
      <c r="W484" s="20"/>
      <c r="X484" s="20"/>
      <c r="Y484" s="20"/>
      <c r="Z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0"/>
      <c r="S485" s="20"/>
      <c r="T485" s="20"/>
      <c r="U485" s="20"/>
      <c r="V485" s="20"/>
      <c r="W485" s="20"/>
      <c r="X485" s="20"/>
      <c r="Y485" s="20"/>
      <c r="Z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0"/>
      <c r="S486" s="20"/>
      <c r="T486" s="20"/>
      <c r="U486" s="20"/>
      <c r="V486" s="20"/>
      <c r="W486" s="20"/>
      <c r="X486" s="20"/>
      <c r="Y486" s="20"/>
      <c r="Z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  <c r="V487" s="20"/>
      <c r="W487" s="20"/>
      <c r="X487" s="20"/>
      <c r="Y487" s="20"/>
      <c r="Z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  <c r="V488" s="20"/>
      <c r="W488" s="20"/>
      <c r="X488" s="20"/>
      <c r="Y488" s="20"/>
      <c r="Z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0"/>
      <c r="S489" s="20"/>
      <c r="T489" s="20"/>
      <c r="U489" s="20"/>
      <c r="V489" s="20"/>
      <c r="W489" s="20"/>
      <c r="X489" s="20"/>
      <c r="Y489" s="20"/>
      <c r="Z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0"/>
      <c r="S490" s="20"/>
      <c r="T490" s="20"/>
      <c r="U490" s="20"/>
      <c r="V490" s="20"/>
      <c r="W490" s="20"/>
      <c r="X490" s="20"/>
      <c r="Y490" s="20"/>
      <c r="Z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  <c r="V491" s="20"/>
      <c r="W491" s="20"/>
      <c r="X491" s="20"/>
      <c r="Y491" s="20"/>
      <c r="Z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  <c r="V492" s="20"/>
      <c r="W492" s="20"/>
      <c r="X492" s="20"/>
      <c r="Y492" s="20"/>
      <c r="Z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0"/>
      <c r="S493" s="20"/>
      <c r="T493" s="20"/>
      <c r="U493" s="20"/>
      <c r="V493" s="20"/>
      <c r="W493" s="20"/>
      <c r="X493" s="20"/>
      <c r="Y493" s="20"/>
      <c r="Z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0"/>
      <c r="S494" s="20"/>
      <c r="T494" s="20"/>
      <c r="U494" s="20"/>
      <c r="V494" s="20"/>
      <c r="W494" s="20"/>
      <c r="X494" s="20"/>
      <c r="Y494" s="20"/>
      <c r="Z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0"/>
      <c r="S495" s="20"/>
      <c r="T495" s="20"/>
      <c r="U495" s="20"/>
      <c r="V495" s="20"/>
      <c r="W495" s="20"/>
      <c r="X495" s="20"/>
      <c r="Y495" s="20"/>
      <c r="Z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0"/>
      <c r="S497" s="20"/>
      <c r="T497" s="20"/>
      <c r="U497" s="20"/>
      <c r="V497" s="20"/>
      <c r="W497" s="20"/>
      <c r="X497" s="20"/>
      <c r="Y497" s="20"/>
      <c r="Z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0"/>
      <c r="S498" s="20"/>
      <c r="T498" s="20"/>
      <c r="U498" s="20"/>
      <c r="V498" s="20"/>
      <c r="W498" s="20"/>
      <c r="X498" s="20"/>
      <c r="Y498" s="20"/>
      <c r="Z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0"/>
      <c r="S499" s="20"/>
      <c r="T499" s="20"/>
      <c r="U499" s="20"/>
      <c r="V499" s="20"/>
      <c r="W499" s="20"/>
      <c r="X499" s="20"/>
      <c r="Y499" s="20"/>
      <c r="Z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0"/>
      <c r="S500" s="20"/>
      <c r="T500" s="20"/>
      <c r="U500" s="20"/>
      <c r="V500" s="20"/>
      <c r="W500" s="20"/>
      <c r="X500" s="20"/>
      <c r="Y500" s="20"/>
      <c r="Z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0"/>
      <c r="S501" s="20"/>
      <c r="T501" s="20"/>
      <c r="U501" s="20"/>
      <c r="V501" s="20"/>
      <c r="W501" s="20"/>
      <c r="X501" s="20"/>
      <c r="Y501" s="20"/>
      <c r="Z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  <c r="V502" s="20"/>
      <c r="W502" s="20"/>
      <c r="X502" s="20"/>
      <c r="Y502" s="20"/>
      <c r="Z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  <c r="V503" s="20"/>
      <c r="W503" s="20"/>
      <c r="X503" s="20"/>
      <c r="Y503" s="20"/>
      <c r="Z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0"/>
      <c r="S504" s="20"/>
      <c r="T504" s="20"/>
      <c r="U504" s="20"/>
      <c r="V504" s="20"/>
      <c r="W504" s="20"/>
      <c r="X504" s="20"/>
      <c r="Y504" s="20"/>
      <c r="Z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0"/>
      <c r="S505" s="20"/>
      <c r="T505" s="20"/>
      <c r="U505" s="20"/>
      <c r="V505" s="20"/>
      <c r="W505" s="20"/>
      <c r="X505" s="20"/>
      <c r="Y505" s="20"/>
      <c r="Z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0"/>
      <c r="S506" s="20"/>
      <c r="T506" s="20"/>
      <c r="U506" s="20"/>
      <c r="V506" s="20"/>
      <c r="W506" s="20"/>
      <c r="X506" s="20"/>
      <c r="Y506" s="20"/>
      <c r="Z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  <c r="V507" s="20"/>
      <c r="W507" s="20"/>
      <c r="X507" s="20"/>
      <c r="Y507" s="20"/>
      <c r="Z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  <c r="V509" s="20"/>
      <c r="W509" s="20"/>
      <c r="X509" s="20"/>
      <c r="Y509" s="20"/>
      <c r="Z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0"/>
      <c r="S510" s="20"/>
      <c r="T510" s="20"/>
      <c r="U510" s="20"/>
      <c r="V510" s="20"/>
      <c r="W510" s="20"/>
      <c r="X510" s="20"/>
      <c r="Y510" s="20"/>
      <c r="Z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0"/>
      <c r="S511" s="20"/>
      <c r="T511" s="20"/>
      <c r="U511" s="20"/>
      <c r="V511" s="20"/>
      <c r="W511" s="20"/>
      <c r="X511" s="20"/>
      <c r="Y511" s="20"/>
      <c r="Z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0"/>
      <c r="S512" s="20"/>
      <c r="T512" s="20"/>
      <c r="U512" s="20"/>
      <c r="V512" s="20"/>
      <c r="W512" s="20"/>
      <c r="X512" s="20"/>
      <c r="Y512" s="20"/>
      <c r="Z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  <c r="Z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  <c r="Z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0"/>
      <c r="S515" s="20"/>
      <c r="T515" s="20"/>
      <c r="U515" s="20"/>
      <c r="V515" s="20"/>
      <c r="W515" s="20"/>
      <c r="X515" s="20"/>
      <c r="Y515" s="20"/>
      <c r="Z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0"/>
      <c r="S516" s="20"/>
      <c r="T516" s="20"/>
      <c r="U516" s="20"/>
      <c r="V516" s="20"/>
      <c r="W516" s="20"/>
      <c r="X516" s="20"/>
      <c r="Y516" s="20"/>
      <c r="Z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0"/>
      <c r="S517" s="20"/>
      <c r="T517" s="20"/>
      <c r="U517" s="20"/>
      <c r="V517" s="20"/>
      <c r="W517" s="20"/>
      <c r="X517" s="20"/>
      <c r="Y517" s="20"/>
      <c r="Z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0"/>
      <c r="S518" s="20"/>
      <c r="T518" s="20"/>
      <c r="U518" s="20"/>
      <c r="V518" s="20"/>
      <c r="W518" s="20"/>
      <c r="X518" s="20"/>
      <c r="Y518" s="20"/>
      <c r="Z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0"/>
      <c r="S519" s="20"/>
      <c r="T519" s="20"/>
      <c r="U519" s="20"/>
      <c r="V519" s="20"/>
      <c r="W519" s="20"/>
      <c r="X519" s="20"/>
      <c r="Y519" s="20"/>
      <c r="Z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0"/>
      <c r="S520" s="20"/>
      <c r="T520" s="20"/>
      <c r="U520" s="20"/>
      <c r="V520" s="20"/>
      <c r="W520" s="20"/>
      <c r="X520" s="20"/>
      <c r="Y520" s="20"/>
      <c r="Z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0"/>
      <c r="S521" s="20"/>
      <c r="T521" s="20"/>
      <c r="U521" s="20"/>
      <c r="V521" s="20"/>
      <c r="W521" s="20"/>
      <c r="X521" s="20"/>
      <c r="Y521" s="20"/>
      <c r="Z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  <c r="V523" s="20"/>
      <c r="W523" s="20"/>
      <c r="X523" s="20"/>
      <c r="Y523" s="20"/>
      <c r="Z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  <c r="V524" s="20"/>
      <c r="W524" s="20"/>
      <c r="X524" s="20"/>
      <c r="Y524" s="20"/>
      <c r="Z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  <c r="V525" s="20"/>
      <c r="W525" s="20"/>
      <c r="X525" s="20"/>
      <c r="Y525" s="20"/>
      <c r="Z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  <c r="V526" s="20"/>
      <c r="W526" s="20"/>
      <c r="X526" s="20"/>
      <c r="Y526" s="20"/>
      <c r="Z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0"/>
      <c r="S527" s="20"/>
      <c r="T527" s="20"/>
      <c r="U527" s="20"/>
      <c r="V527" s="20"/>
      <c r="W527" s="20"/>
      <c r="X527" s="20"/>
      <c r="Y527" s="20"/>
      <c r="Z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  <c r="V528" s="20"/>
      <c r="W528" s="20"/>
      <c r="X528" s="20"/>
      <c r="Y528" s="20"/>
      <c r="Z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0"/>
      <c r="S529" s="20"/>
      <c r="T529" s="20"/>
      <c r="U529" s="20"/>
      <c r="V529" s="20"/>
      <c r="W529" s="20"/>
      <c r="X529" s="20"/>
      <c r="Y529" s="20"/>
      <c r="Z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  <c r="V530" s="20"/>
      <c r="W530" s="20"/>
      <c r="X530" s="20"/>
      <c r="Y530" s="20"/>
      <c r="Z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  <c r="V531" s="20"/>
      <c r="W531" s="20"/>
      <c r="X531" s="20"/>
      <c r="Y531" s="20"/>
      <c r="Z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  <c r="V532" s="20"/>
      <c r="W532" s="20"/>
      <c r="X532" s="20"/>
      <c r="Y532" s="20"/>
      <c r="Z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  <c r="V534" s="20"/>
      <c r="W534" s="20"/>
      <c r="X534" s="20"/>
      <c r="Y534" s="20"/>
      <c r="Z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0"/>
      <c r="S535" s="20"/>
      <c r="T535" s="20"/>
      <c r="U535" s="20"/>
      <c r="V535" s="20"/>
      <c r="W535" s="20"/>
      <c r="X535" s="20"/>
      <c r="Y535" s="20"/>
      <c r="Z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0"/>
      <c r="S536" s="20"/>
      <c r="T536" s="20"/>
      <c r="U536" s="20"/>
      <c r="V536" s="20"/>
      <c r="W536" s="20"/>
      <c r="X536" s="20"/>
      <c r="Y536" s="20"/>
      <c r="Z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0"/>
      <c r="S537" s="20"/>
      <c r="T537" s="20"/>
      <c r="U537" s="20"/>
      <c r="V537" s="20"/>
      <c r="W537" s="20"/>
      <c r="X537" s="20"/>
      <c r="Y537" s="20"/>
      <c r="Z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0"/>
      <c r="S538" s="20"/>
      <c r="T538" s="20"/>
      <c r="U538" s="20"/>
      <c r="V538" s="20"/>
      <c r="W538" s="20"/>
      <c r="X538" s="20"/>
      <c r="Y538" s="20"/>
      <c r="Z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0"/>
      <c r="S539" s="20"/>
      <c r="T539" s="20"/>
      <c r="U539" s="20"/>
      <c r="V539" s="20"/>
      <c r="W539" s="20"/>
      <c r="X539" s="20"/>
      <c r="Y539" s="20"/>
      <c r="Z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  <c r="V540" s="20"/>
      <c r="W540" s="20"/>
      <c r="X540" s="20"/>
      <c r="Y540" s="20"/>
      <c r="Z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0"/>
      <c r="S541" s="20"/>
      <c r="T541" s="20"/>
      <c r="U541" s="20"/>
      <c r="V541" s="20"/>
      <c r="W541" s="20"/>
      <c r="X541" s="20"/>
      <c r="Y541" s="20"/>
      <c r="Z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  <c r="V542" s="20"/>
      <c r="W542" s="20"/>
      <c r="X542" s="20"/>
      <c r="Y542" s="20"/>
      <c r="Z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  <c r="V543" s="20"/>
      <c r="W543" s="20"/>
      <c r="X543" s="20"/>
      <c r="Y543" s="20"/>
      <c r="Z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  <c r="V544" s="20"/>
      <c r="W544" s="20"/>
      <c r="X544" s="20"/>
      <c r="Y544" s="20"/>
      <c r="Z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  <c r="V545" s="20"/>
      <c r="W545" s="20"/>
      <c r="X545" s="20"/>
      <c r="Y545" s="20"/>
      <c r="Z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  <c r="V547" s="20"/>
      <c r="W547" s="20"/>
      <c r="X547" s="20"/>
      <c r="Y547" s="20"/>
      <c r="Z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0"/>
      <c r="S548" s="20"/>
      <c r="T548" s="20"/>
      <c r="U548" s="20"/>
      <c r="V548" s="20"/>
      <c r="W548" s="20"/>
      <c r="X548" s="20"/>
      <c r="Y548" s="20"/>
      <c r="Z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  <c r="V549" s="20"/>
      <c r="W549" s="20"/>
      <c r="X549" s="20"/>
      <c r="Y549" s="20"/>
      <c r="Z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  <c r="V550" s="20"/>
      <c r="W550" s="20"/>
      <c r="X550" s="20"/>
      <c r="Y550" s="20"/>
      <c r="Z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  <c r="V551" s="20"/>
      <c r="W551" s="20"/>
      <c r="X551" s="20"/>
      <c r="Y551" s="20"/>
      <c r="Z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  <c r="V552" s="20"/>
      <c r="W552" s="20"/>
      <c r="X552" s="20"/>
      <c r="Y552" s="20"/>
      <c r="Z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0"/>
      <c r="S553" s="20"/>
      <c r="T553" s="20"/>
      <c r="U553" s="20"/>
      <c r="V553" s="20"/>
      <c r="W553" s="20"/>
      <c r="X553" s="20"/>
      <c r="Y553" s="20"/>
      <c r="Z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0"/>
      <c r="S554" s="20"/>
      <c r="T554" s="20"/>
      <c r="U554" s="20"/>
      <c r="V554" s="20"/>
      <c r="W554" s="20"/>
      <c r="X554" s="20"/>
      <c r="Y554" s="20"/>
      <c r="Z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0"/>
      <c r="S555" s="20"/>
      <c r="T555" s="20"/>
      <c r="U555" s="20"/>
      <c r="V555" s="20"/>
      <c r="W555" s="20"/>
      <c r="X555" s="20"/>
      <c r="Y555" s="20"/>
      <c r="Z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0"/>
      <c r="S556" s="20"/>
      <c r="T556" s="20"/>
      <c r="U556" s="20"/>
      <c r="V556" s="20"/>
      <c r="W556" s="20"/>
      <c r="X556" s="20"/>
      <c r="Y556" s="20"/>
      <c r="Z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0"/>
      <c r="S557" s="20"/>
      <c r="T557" s="20"/>
      <c r="U557" s="20"/>
      <c r="V557" s="20"/>
      <c r="W557" s="20"/>
      <c r="X557" s="20"/>
      <c r="Y557" s="20"/>
      <c r="Z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0"/>
      <c r="S558" s="20"/>
      <c r="T558" s="20"/>
      <c r="U558" s="20"/>
      <c r="V558" s="20"/>
      <c r="W558" s="20"/>
      <c r="X558" s="20"/>
      <c r="Y558" s="20"/>
      <c r="Z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  <c r="V559" s="20"/>
      <c r="W559" s="20"/>
      <c r="X559" s="20"/>
      <c r="Y559" s="20"/>
      <c r="Z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0"/>
      <c r="S560" s="20"/>
      <c r="T560" s="20"/>
      <c r="U560" s="20"/>
      <c r="V560" s="20"/>
      <c r="W560" s="20"/>
      <c r="X560" s="20"/>
      <c r="Y560" s="20"/>
      <c r="Z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0"/>
      <c r="S561" s="20"/>
      <c r="T561" s="20"/>
      <c r="U561" s="20"/>
      <c r="V561" s="20"/>
      <c r="W561" s="20"/>
      <c r="X561" s="20"/>
      <c r="Y561" s="20"/>
      <c r="Z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  <c r="V562" s="20"/>
      <c r="W562" s="20"/>
      <c r="X562" s="20"/>
      <c r="Y562" s="20"/>
      <c r="Z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  <c r="V563" s="20"/>
      <c r="W563" s="20"/>
      <c r="X563" s="20"/>
      <c r="Y563" s="20"/>
      <c r="Z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  <c r="V564" s="20"/>
      <c r="W564" s="20"/>
      <c r="X564" s="20"/>
      <c r="Y564" s="20"/>
      <c r="Z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  <c r="V565" s="20"/>
      <c r="W565" s="20"/>
      <c r="X565" s="20"/>
      <c r="Y565" s="20"/>
      <c r="Z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  <c r="V566" s="20"/>
      <c r="W566" s="20"/>
      <c r="X566" s="20"/>
      <c r="Y566" s="20"/>
      <c r="Z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  <c r="V567" s="20"/>
      <c r="W567" s="20"/>
      <c r="X567" s="20"/>
      <c r="Y567" s="20"/>
      <c r="Z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  <c r="V568" s="20"/>
      <c r="W568" s="20"/>
      <c r="X568" s="20"/>
      <c r="Y568" s="20"/>
      <c r="Z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  <c r="V569" s="20"/>
      <c r="W569" s="20"/>
      <c r="X569" s="20"/>
      <c r="Y569" s="20"/>
      <c r="Z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  <c r="V570" s="20"/>
      <c r="W570" s="20"/>
      <c r="X570" s="20"/>
      <c r="Y570" s="20"/>
      <c r="Z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  <c r="V571" s="20"/>
      <c r="W571" s="20"/>
      <c r="X571" s="20"/>
      <c r="Y571" s="20"/>
      <c r="Z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  <c r="V572" s="20"/>
      <c r="W572" s="20"/>
      <c r="X572" s="20"/>
      <c r="Y572" s="20"/>
      <c r="Z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  <c r="V573" s="20"/>
      <c r="W573" s="20"/>
      <c r="X573" s="20"/>
      <c r="Y573" s="20"/>
      <c r="Z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  <c r="V574" s="20"/>
      <c r="W574" s="20"/>
      <c r="X574" s="20"/>
      <c r="Y574" s="20"/>
      <c r="Z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0"/>
      <c r="S575" s="20"/>
      <c r="T575" s="20"/>
      <c r="U575" s="20"/>
      <c r="V575" s="20"/>
      <c r="W575" s="20"/>
      <c r="X575" s="20"/>
      <c r="Y575" s="20"/>
      <c r="Z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0"/>
      <c r="S576" s="20"/>
      <c r="T576" s="20"/>
      <c r="U576" s="20"/>
      <c r="V576" s="20"/>
      <c r="W576" s="20"/>
      <c r="X576" s="20"/>
      <c r="Y576" s="20"/>
      <c r="Z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  <c r="V577" s="20"/>
      <c r="W577" s="20"/>
      <c r="X577" s="20"/>
      <c r="Y577" s="20"/>
      <c r="Z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  <c r="V578" s="20"/>
      <c r="W578" s="20"/>
      <c r="X578" s="20"/>
      <c r="Y578" s="20"/>
      <c r="Z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  <c r="V579" s="20"/>
      <c r="W579" s="20"/>
      <c r="X579" s="20"/>
      <c r="Y579" s="20"/>
      <c r="Z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0"/>
      <c r="S580" s="20"/>
      <c r="T580" s="20"/>
      <c r="U580" s="20"/>
      <c r="V580" s="20"/>
      <c r="W580" s="20"/>
      <c r="X580" s="20"/>
      <c r="Y580" s="20"/>
      <c r="Z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  <c r="V581" s="20"/>
      <c r="W581" s="20"/>
      <c r="X581" s="20"/>
      <c r="Y581" s="20"/>
      <c r="Z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0"/>
      <c r="S582" s="20"/>
      <c r="T582" s="20"/>
      <c r="U582" s="20"/>
      <c r="V582" s="20"/>
      <c r="W582" s="20"/>
      <c r="X582" s="20"/>
      <c r="Y582" s="20"/>
      <c r="Z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  <c r="V583" s="20"/>
      <c r="W583" s="20"/>
      <c r="X583" s="20"/>
      <c r="Y583" s="20"/>
      <c r="Z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  <c r="V584" s="20"/>
      <c r="W584" s="20"/>
      <c r="X584" s="20"/>
      <c r="Y584" s="20"/>
      <c r="Z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  <c r="V586" s="20"/>
      <c r="W586" s="20"/>
      <c r="X586" s="20"/>
      <c r="Y586" s="20"/>
      <c r="Z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  <c r="V587" s="20"/>
      <c r="W587" s="20"/>
      <c r="X587" s="20"/>
      <c r="Y587" s="20"/>
      <c r="Z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  <c r="V588" s="20"/>
      <c r="W588" s="20"/>
      <c r="X588" s="20"/>
      <c r="Y588" s="20"/>
      <c r="Z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  <c r="V589" s="20"/>
      <c r="W589" s="20"/>
      <c r="X589" s="20"/>
      <c r="Y589" s="20"/>
      <c r="Z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  <c r="V590" s="20"/>
      <c r="W590" s="20"/>
      <c r="X590" s="20"/>
      <c r="Y590" s="20"/>
      <c r="Z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  <c r="V591" s="20"/>
      <c r="W591" s="20"/>
      <c r="X591" s="20"/>
      <c r="Y591" s="20"/>
      <c r="Z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  <c r="V592" s="20"/>
      <c r="W592" s="20"/>
      <c r="X592" s="20"/>
      <c r="Y592" s="20"/>
      <c r="Z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  <c r="Q593" s="20"/>
      <c r="R593" s="20"/>
      <c r="S593" s="20"/>
      <c r="T593" s="20"/>
      <c r="U593" s="20"/>
      <c r="V593" s="20"/>
      <c r="W593" s="20"/>
      <c r="X593" s="20"/>
      <c r="Y593" s="20"/>
      <c r="Z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  <c r="Q594" s="20"/>
      <c r="R594" s="20"/>
      <c r="S594" s="20"/>
      <c r="T594" s="20"/>
      <c r="U594" s="20"/>
      <c r="V594" s="20"/>
      <c r="W594" s="20"/>
      <c r="X594" s="20"/>
      <c r="Y594" s="20"/>
      <c r="Z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  <c r="Q595" s="20"/>
      <c r="R595" s="20"/>
      <c r="S595" s="20"/>
      <c r="T595" s="20"/>
      <c r="U595" s="20"/>
      <c r="V595" s="20"/>
      <c r="W595" s="20"/>
      <c r="X595" s="20"/>
      <c r="Y595" s="20"/>
      <c r="Z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  <c r="Q596" s="20"/>
      <c r="R596" s="20"/>
      <c r="S596" s="20"/>
      <c r="T596" s="20"/>
      <c r="U596" s="20"/>
      <c r="V596" s="20"/>
      <c r="W596" s="20"/>
      <c r="X596" s="20"/>
      <c r="Y596" s="20"/>
      <c r="Z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  <c r="Q597" s="20"/>
      <c r="R597" s="20"/>
      <c r="S597" s="20"/>
      <c r="T597" s="20"/>
      <c r="U597" s="20"/>
      <c r="V597" s="20"/>
      <c r="W597" s="20"/>
      <c r="X597" s="20"/>
      <c r="Y597" s="20"/>
      <c r="Z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  <c r="Q598" s="20"/>
      <c r="R598" s="20"/>
      <c r="S598" s="20"/>
      <c r="T598" s="20"/>
      <c r="U598" s="20"/>
      <c r="V598" s="20"/>
      <c r="W598" s="20"/>
      <c r="X598" s="20"/>
      <c r="Y598" s="20"/>
      <c r="Z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  <c r="Q599" s="20"/>
      <c r="R599" s="20"/>
      <c r="S599" s="20"/>
      <c r="T599" s="20"/>
      <c r="U599" s="20"/>
      <c r="V599" s="20"/>
      <c r="W599" s="20"/>
      <c r="X599" s="20"/>
      <c r="Y599" s="20"/>
      <c r="Z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  <c r="Q600" s="20"/>
      <c r="R600" s="20"/>
      <c r="S600" s="20"/>
      <c r="T600" s="20"/>
      <c r="U600" s="20"/>
      <c r="V600" s="20"/>
      <c r="W600" s="20"/>
      <c r="X600" s="20"/>
      <c r="Y600" s="20"/>
      <c r="Z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  <c r="V601" s="20"/>
      <c r="W601" s="20"/>
      <c r="X601" s="20"/>
      <c r="Y601" s="20"/>
      <c r="Z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  <c r="V602" s="20"/>
      <c r="W602" s="20"/>
      <c r="X602" s="20"/>
      <c r="Y602" s="20"/>
      <c r="Z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  <c r="V603" s="20"/>
      <c r="W603" s="20"/>
      <c r="X603" s="20"/>
      <c r="Y603" s="20"/>
      <c r="Z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  <c r="V604" s="20"/>
      <c r="W604" s="20"/>
      <c r="X604" s="20"/>
      <c r="Y604" s="20"/>
      <c r="Z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  <c r="V605" s="20"/>
      <c r="W605" s="20"/>
      <c r="X605" s="20"/>
      <c r="Y605" s="20"/>
      <c r="Z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  <c r="V606" s="20"/>
      <c r="W606" s="20"/>
      <c r="X606" s="20"/>
      <c r="Y606" s="20"/>
      <c r="Z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  <c r="V607" s="20"/>
      <c r="W607" s="20"/>
      <c r="X607" s="20"/>
      <c r="Y607" s="20"/>
      <c r="Z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  <c r="Q608" s="20"/>
      <c r="R608" s="20"/>
      <c r="S608" s="20"/>
      <c r="T608" s="20"/>
      <c r="U608" s="20"/>
      <c r="V608" s="20"/>
      <c r="W608" s="20"/>
      <c r="X608" s="20"/>
      <c r="Y608" s="20"/>
      <c r="Z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  <c r="V609" s="20"/>
      <c r="W609" s="20"/>
      <c r="X609" s="20"/>
      <c r="Y609" s="20"/>
      <c r="Z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  <c r="V610" s="20"/>
      <c r="W610" s="20"/>
      <c r="X610" s="20"/>
      <c r="Y610" s="20"/>
      <c r="Z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  <c r="V611" s="20"/>
      <c r="W611" s="20"/>
      <c r="X611" s="20"/>
      <c r="Y611" s="20"/>
      <c r="Z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  <c r="Q612" s="20"/>
      <c r="R612" s="20"/>
      <c r="S612" s="20"/>
      <c r="T612" s="20"/>
      <c r="U612" s="20"/>
      <c r="V612" s="20"/>
      <c r="W612" s="20"/>
      <c r="X612" s="20"/>
      <c r="Y612" s="20"/>
      <c r="Z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  <c r="V613" s="20"/>
      <c r="W613" s="20"/>
      <c r="X613" s="20"/>
      <c r="Y613" s="20"/>
      <c r="Z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  <c r="Q614" s="20"/>
      <c r="R614" s="20"/>
      <c r="S614" s="20"/>
      <c r="T614" s="20"/>
      <c r="U614" s="20"/>
      <c r="V614" s="20"/>
      <c r="W614" s="20"/>
      <c r="X614" s="20"/>
      <c r="Y614" s="20"/>
      <c r="Z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  <c r="V615" s="20"/>
      <c r="W615" s="20"/>
      <c r="X615" s="20"/>
      <c r="Y615" s="20"/>
      <c r="Z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  <c r="V616" s="20"/>
      <c r="W616" s="20"/>
      <c r="X616" s="20"/>
      <c r="Y616" s="20"/>
      <c r="Z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  <c r="Q617" s="20"/>
      <c r="R617" s="20"/>
      <c r="S617" s="20"/>
      <c r="T617" s="20"/>
      <c r="U617" s="20"/>
      <c r="V617" s="20"/>
      <c r="W617" s="20"/>
      <c r="X617" s="20"/>
      <c r="Y617" s="20"/>
      <c r="Z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  <c r="V618" s="20"/>
      <c r="W618" s="20"/>
      <c r="X618" s="20"/>
      <c r="Y618" s="20"/>
      <c r="Z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  <c r="V620" s="20"/>
      <c r="W620" s="20"/>
      <c r="X620" s="20"/>
      <c r="Y620" s="20"/>
      <c r="Z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  <c r="V621" s="20"/>
      <c r="W621" s="20"/>
      <c r="X621" s="20"/>
      <c r="Y621" s="20"/>
      <c r="Z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  <c r="V622" s="20"/>
      <c r="W622" s="20"/>
      <c r="X622" s="20"/>
      <c r="Y622" s="20"/>
      <c r="Z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  <c r="V624" s="20"/>
      <c r="W624" s="20"/>
      <c r="X624" s="20"/>
      <c r="Y624" s="20"/>
      <c r="Z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  <c r="V625" s="20"/>
      <c r="W625" s="20"/>
      <c r="X625" s="20"/>
      <c r="Y625" s="20"/>
      <c r="Z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  <c r="V626" s="20"/>
      <c r="W626" s="20"/>
      <c r="X626" s="20"/>
      <c r="Y626" s="20"/>
      <c r="Z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  <c r="V627" s="20"/>
      <c r="W627" s="20"/>
      <c r="X627" s="20"/>
      <c r="Y627" s="20"/>
      <c r="Z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  <c r="V628" s="20"/>
      <c r="W628" s="20"/>
      <c r="X628" s="20"/>
      <c r="Y628" s="20"/>
      <c r="Z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  <c r="V629" s="20"/>
      <c r="W629" s="20"/>
      <c r="X629" s="20"/>
      <c r="Y629" s="20"/>
      <c r="Z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  <c r="V630" s="20"/>
      <c r="W630" s="20"/>
      <c r="X630" s="20"/>
      <c r="Y630" s="20"/>
      <c r="Z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  <c r="Q631" s="20"/>
      <c r="R631" s="20"/>
      <c r="S631" s="20"/>
      <c r="T631" s="20"/>
      <c r="U631" s="20"/>
      <c r="V631" s="20"/>
      <c r="W631" s="20"/>
      <c r="X631" s="20"/>
      <c r="Y631" s="20"/>
      <c r="Z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  <c r="Q632" s="20"/>
      <c r="R632" s="20"/>
      <c r="S632" s="20"/>
      <c r="T632" s="20"/>
      <c r="U632" s="20"/>
      <c r="V632" s="20"/>
      <c r="W632" s="20"/>
      <c r="X632" s="20"/>
      <c r="Y632" s="20"/>
      <c r="Z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  <c r="V633" s="20"/>
      <c r="W633" s="20"/>
      <c r="X633" s="20"/>
      <c r="Y633" s="20"/>
      <c r="Z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  <c r="V634" s="20"/>
      <c r="W634" s="20"/>
      <c r="X634" s="20"/>
      <c r="Y634" s="20"/>
      <c r="Z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  <c r="V635" s="20"/>
      <c r="W635" s="20"/>
      <c r="X635" s="20"/>
      <c r="Y635" s="20"/>
      <c r="Z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  <c r="V636" s="20"/>
      <c r="W636" s="20"/>
      <c r="X636" s="20"/>
      <c r="Y636" s="20"/>
      <c r="Z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  <c r="V637" s="20"/>
      <c r="W637" s="20"/>
      <c r="X637" s="20"/>
      <c r="Y637" s="20"/>
      <c r="Z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  <c r="V638" s="20"/>
      <c r="W638" s="20"/>
      <c r="X638" s="20"/>
      <c r="Y638" s="20"/>
      <c r="Z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  <c r="V639" s="20"/>
      <c r="W639" s="20"/>
      <c r="X639" s="20"/>
      <c r="Y639" s="20"/>
      <c r="Z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  <c r="V640" s="20"/>
      <c r="W640" s="20"/>
      <c r="X640" s="20"/>
      <c r="Y640" s="20"/>
      <c r="Z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  <c r="V641" s="20"/>
      <c r="W641" s="20"/>
      <c r="X641" s="20"/>
      <c r="Y641" s="20"/>
      <c r="Z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  <c r="V642" s="20"/>
      <c r="W642" s="20"/>
      <c r="X642" s="20"/>
      <c r="Y642" s="20"/>
      <c r="Z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  <c r="Q643" s="20"/>
      <c r="R643" s="20"/>
      <c r="S643" s="20"/>
      <c r="T643" s="20"/>
      <c r="U643" s="20"/>
      <c r="V643" s="20"/>
      <c r="W643" s="20"/>
      <c r="X643" s="20"/>
      <c r="Y643" s="20"/>
      <c r="Z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  <c r="V644" s="20"/>
      <c r="W644" s="20"/>
      <c r="X644" s="20"/>
      <c r="Y644" s="20"/>
      <c r="Z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  <c r="Q645" s="20"/>
      <c r="R645" s="20"/>
      <c r="S645" s="20"/>
      <c r="T645" s="20"/>
      <c r="U645" s="20"/>
      <c r="V645" s="20"/>
      <c r="W645" s="20"/>
      <c r="X645" s="20"/>
      <c r="Y645" s="20"/>
      <c r="Z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  <c r="Q647" s="20"/>
      <c r="R647" s="20"/>
      <c r="S647" s="20"/>
      <c r="T647" s="20"/>
      <c r="U647" s="20"/>
      <c r="V647" s="20"/>
      <c r="W647" s="20"/>
      <c r="X647" s="20"/>
      <c r="Y647" s="20"/>
      <c r="Z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  <c r="Q648" s="20"/>
      <c r="R648" s="20"/>
      <c r="S648" s="20"/>
      <c r="T648" s="20"/>
      <c r="U648" s="20"/>
      <c r="V648" s="20"/>
      <c r="W648" s="20"/>
      <c r="X648" s="20"/>
      <c r="Y648" s="20"/>
      <c r="Z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  <c r="V649" s="20"/>
      <c r="W649" s="20"/>
      <c r="X649" s="20"/>
      <c r="Y649" s="20"/>
      <c r="Z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  <c r="V650" s="20"/>
      <c r="W650" s="20"/>
      <c r="X650" s="20"/>
      <c r="Y650" s="20"/>
      <c r="Z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  <c r="V651" s="20"/>
      <c r="W651" s="20"/>
      <c r="X651" s="20"/>
      <c r="Y651" s="20"/>
      <c r="Z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  <c r="V652" s="20"/>
      <c r="W652" s="20"/>
      <c r="X652" s="20"/>
      <c r="Y652" s="20"/>
      <c r="Z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  <c r="V653" s="20"/>
      <c r="W653" s="20"/>
      <c r="X653" s="20"/>
      <c r="Y653" s="20"/>
      <c r="Z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  <c r="V654" s="20"/>
      <c r="W654" s="20"/>
      <c r="X654" s="20"/>
      <c r="Y654" s="20"/>
      <c r="Z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  <c r="V655" s="20"/>
      <c r="W655" s="20"/>
      <c r="X655" s="20"/>
      <c r="Y655" s="20"/>
      <c r="Z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  <c r="V656" s="20"/>
      <c r="W656" s="20"/>
      <c r="X656" s="20"/>
      <c r="Y656" s="20"/>
      <c r="Z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  <c r="V657" s="20"/>
      <c r="W657" s="20"/>
      <c r="X657" s="20"/>
      <c r="Y657" s="20"/>
      <c r="Z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  <c r="V659" s="20"/>
      <c r="W659" s="20"/>
      <c r="X659" s="20"/>
      <c r="Y659" s="20"/>
      <c r="Z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  <c r="V660" s="20"/>
      <c r="W660" s="20"/>
      <c r="X660" s="20"/>
      <c r="Y660" s="20"/>
      <c r="Z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  <c r="Q661" s="20"/>
      <c r="R661" s="20"/>
      <c r="S661" s="20"/>
      <c r="T661" s="20"/>
      <c r="U661" s="20"/>
      <c r="V661" s="20"/>
      <c r="W661" s="20"/>
      <c r="X661" s="20"/>
      <c r="Y661" s="20"/>
      <c r="Z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  <c r="Q662" s="20"/>
      <c r="R662" s="20"/>
      <c r="S662" s="20"/>
      <c r="T662" s="20"/>
      <c r="U662" s="20"/>
      <c r="V662" s="20"/>
      <c r="W662" s="20"/>
      <c r="X662" s="20"/>
      <c r="Y662" s="20"/>
      <c r="Z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  <c r="Q663" s="20"/>
      <c r="R663" s="20"/>
      <c r="S663" s="20"/>
      <c r="T663" s="20"/>
      <c r="U663" s="20"/>
      <c r="V663" s="20"/>
      <c r="W663" s="20"/>
      <c r="X663" s="20"/>
      <c r="Y663" s="20"/>
      <c r="Z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  <c r="Q664" s="20"/>
      <c r="R664" s="20"/>
      <c r="S664" s="20"/>
      <c r="T664" s="20"/>
      <c r="U664" s="20"/>
      <c r="V664" s="20"/>
      <c r="W664" s="20"/>
      <c r="X664" s="20"/>
      <c r="Y664" s="20"/>
      <c r="Z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  <c r="V665" s="20"/>
      <c r="W665" s="20"/>
      <c r="X665" s="20"/>
      <c r="Y665" s="20"/>
      <c r="Z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  <c r="V666" s="20"/>
      <c r="W666" s="20"/>
      <c r="X666" s="20"/>
      <c r="Y666" s="20"/>
      <c r="Z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  <c r="V668" s="20"/>
      <c r="W668" s="20"/>
      <c r="X668" s="20"/>
      <c r="Y668" s="20"/>
      <c r="Z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  <c r="Q669" s="20"/>
      <c r="R669" s="20"/>
      <c r="S669" s="20"/>
      <c r="T669" s="20"/>
      <c r="U669" s="20"/>
      <c r="V669" s="20"/>
      <c r="W669" s="20"/>
      <c r="X669" s="20"/>
      <c r="Y669" s="20"/>
      <c r="Z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  <c r="V670" s="20"/>
      <c r="W670" s="20"/>
      <c r="X670" s="20"/>
      <c r="Y670" s="20"/>
      <c r="Z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  <c r="V671" s="20"/>
      <c r="W671" s="20"/>
      <c r="X671" s="20"/>
      <c r="Y671" s="20"/>
      <c r="Z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  <c r="Q672" s="20"/>
      <c r="R672" s="20"/>
      <c r="S672" s="20"/>
      <c r="T672" s="20"/>
      <c r="U672" s="20"/>
      <c r="V672" s="20"/>
      <c r="W672" s="20"/>
      <c r="X672" s="20"/>
      <c r="Y672" s="20"/>
      <c r="Z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  <c r="V674" s="20"/>
      <c r="W674" s="20"/>
      <c r="X674" s="20"/>
      <c r="Y674" s="20"/>
      <c r="Z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  <c r="V675" s="20"/>
      <c r="W675" s="20"/>
      <c r="X675" s="20"/>
      <c r="Y675" s="20"/>
      <c r="Z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  <c r="V676" s="20"/>
      <c r="W676" s="20"/>
      <c r="X676" s="20"/>
      <c r="Y676" s="20"/>
      <c r="Z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  <c r="V677" s="20"/>
      <c r="W677" s="20"/>
      <c r="X677" s="20"/>
      <c r="Y677" s="20"/>
      <c r="Z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  <c r="V678" s="20"/>
      <c r="W678" s="20"/>
      <c r="X678" s="20"/>
      <c r="Y678" s="20"/>
      <c r="Z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  <c r="V680" s="20"/>
      <c r="W680" s="20"/>
      <c r="X680" s="20"/>
      <c r="Y680" s="20"/>
      <c r="Z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  <c r="V681" s="20"/>
      <c r="W681" s="20"/>
      <c r="X681" s="20"/>
      <c r="Y681" s="20"/>
      <c r="Z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  <c r="V682" s="20"/>
      <c r="W682" s="20"/>
      <c r="X682" s="20"/>
      <c r="Y682" s="20"/>
      <c r="Z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  <c r="V683" s="20"/>
      <c r="W683" s="20"/>
      <c r="X683" s="20"/>
      <c r="Y683" s="20"/>
      <c r="Z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  <c r="V684" s="20"/>
      <c r="W684" s="20"/>
      <c r="X684" s="20"/>
      <c r="Y684" s="20"/>
      <c r="Z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  <c r="V685" s="20"/>
      <c r="W685" s="20"/>
      <c r="X685" s="20"/>
      <c r="Y685" s="20"/>
      <c r="Z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  <c r="Q686" s="20"/>
      <c r="R686" s="20"/>
      <c r="S686" s="20"/>
      <c r="T686" s="20"/>
      <c r="U686" s="20"/>
      <c r="V686" s="20"/>
      <c r="W686" s="20"/>
      <c r="X686" s="20"/>
      <c r="Y686" s="20"/>
      <c r="Z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  <c r="V687" s="20"/>
      <c r="W687" s="20"/>
      <c r="X687" s="20"/>
      <c r="Y687" s="20"/>
      <c r="Z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  <c r="V688" s="20"/>
      <c r="W688" s="20"/>
      <c r="X688" s="20"/>
      <c r="Y688" s="20"/>
      <c r="Z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  <c r="Q689" s="20"/>
      <c r="R689" s="20"/>
      <c r="S689" s="20"/>
      <c r="T689" s="20"/>
      <c r="U689" s="20"/>
      <c r="V689" s="20"/>
      <c r="W689" s="20"/>
      <c r="X689" s="20"/>
      <c r="Y689" s="20"/>
      <c r="Z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  <c r="Q690" s="20"/>
      <c r="R690" s="20"/>
      <c r="S690" s="20"/>
      <c r="T690" s="20"/>
      <c r="U690" s="20"/>
      <c r="V690" s="20"/>
      <c r="W690" s="20"/>
      <c r="X690" s="20"/>
      <c r="Y690" s="20"/>
      <c r="Z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  <c r="V691" s="20"/>
      <c r="W691" s="20"/>
      <c r="X691" s="20"/>
      <c r="Y691" s="20"/>
      <c r="Z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  <c r="Q692" s="20"/>
      <c r="R692" s="20"/>
      <c r="S692" s="20"/>
      <c r="T692" s="20"/>
      <c r="U692" s="20"/>
      <c r="V692" s="20"/>
      <c r="W692" s="20"/>
      <c r="X692" s="20"/>
      <c r="Y692" s="20"/>
      <c r="Z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  <c r="Q693" s="20"/>
      <c r="R693" s="20"/>
      <c r="S693" s="20"/>
      <c r="T693" s="20"/>
      <c r="U693" s="20"/>
      <c r="V693" s="20"/>
      <c r="W693" s="20"/>
      <c r="X693" s="20"/>
      <c r="Y693" s="20"/>
      <c r="Z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  <c r="V694" s="20"/>
      <c r="W694" s="20"/>
      <c r="X694" s="20"/>
      <c r="Y694" s="20"/>
      <c r="Z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  <c r="Q695" s="20"/>
      <c r="R695" s="20"/>
      <c r="S695" s="20"/>
      <c r="T695" s="20"/>
      <c r="U695" s="20"/>
      <c r="V695" s="20"/>
      <c r="W695" s="20"/>
      <c r="X695" s="20"/>
      <c r="Y695" s="20"/>
      <c r="Z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  <c r="V696" s="20"/>
      <c r="W696" s="20"/>
      <c r="X696" s="20"/>
      <c r="Y696" s="20"/>
      <c r="Z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  <c r="V697" s="20"/>
      <c r="W697" s="20"/>
      <c r="X697" s="20"/>
      <c r="Y697" s="20"/>
      <c r="Z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  <c r="V698" s="20"/>
      <c r="W698" s="20"/>
      <c r="X698" s="20"/>
      <c r="Y698" s="20"/>
      <c r="Z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  <c r="V699" s="20"/>
      <c r="W699" s="20"/>
      <c r="X699" s="20"/>
      <c r="Y699" s="20"/>
      <c r="Z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  <c r="V700" s="20"/>
      <c r="W700" s="20"/>
      <c r="X700" s="20"/>
      <c r="Y700" s="20"/>
      <c r="Z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  <c r="V701" s="20"/>
      <c r="W701" s="20"/>
      <c r="X701" s="20"/>
      <c r="Y701" s="20"/>
      <c r="Z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  <c r="V702" s="20"/>
      <c r="W702" s="20"/>
      <c r="X702" s="20"/>
      <c r="Y702" s="20"/>
      <c r="Z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  <c r="V703" s="20"/>
      <c r="W703" s="20"/>
      <c r="X703" s="20"/>
      <c r="Y703" s="20"/>
      <c r="Z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  <c r="V704" s="20"/>
      <c r="W704" s="20"/>
      <c r="X704" s="20"/>
      <c r="Y704" s="20"/>
      <c r="Z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  <c r="V705" s="20"/>
      <c r="W705" s="20"/>
      <c r="X705" s="20"/>
      <c r="Y705" s="20"/>
      <c r="Z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  <c r="V706" s="20"/>
      <c r="W706" s="20"/>
      <c r="X706" s="20"/>
      <c r="Y706" s="20"/>
      <c r="Z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  <c r="V707" s="20"/>
      <c r="W707" s="20"/>
      <c r="X707" s="20"/>
      <c r="Y707" s="20"/>
      <c r="Z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  <c r="V708" s="20"/>
      <c r="W708" s="20"/>
      <c r="X708" s="20"/>
      <c r="Y708" s="20"/>
      <c r="Z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  <c r="V709" s="20"/>
      <c r="W709" s="20"/>
      <c r="X709" s="20"/>
      <c r="Y709" s="20"/>
      <c r="Z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  <c r="V710" s="20"/>
      <c r="W710" s="20"/>
      <c r="X710" s="20"/>
      <c r="Y710" s="20"/>
      <c r="Z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  <c r="V711" s="20"/>
      <c r="W711" s="20"/>
      <c r="X711" s="20"/>
      <c r="Y711" s="20"/>
      <c r="Z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  <c r="V712" s="20"/>
      <c r="W712" s="20"/>
      <c r="X712" s="20"/>
      <c r="Y712" s="20"/>
      <c r="Z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  <c r="V714" s="20"/>
      <c r="W714" s="20"/>
      <c r="X714" s="20"/>
      <c r="Y714" s="20"/>
      <c r="Z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  <c r="V715" s="20"/>
      <c r="W715" s="20"/>
      <c r="X715" s="20"/>
      <c r="Y715" s="20"/>
      <c r="Z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  <c r="V716" s="20"/>
      <c r="W716" s="20"/>
      <c r="X716" s="20"/>
      <c r="Y716" s="20"/>
      <c r="Z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  <c r="V719" s="20"/>
      <c r="W719" s="20"/>
      <c r="X719" s="20"/>
      <c r="Y719" s="20"/>
      <c r="Z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  <c r="V720" s="20"/>
      <c r="W720" s="20"/>
      <c r="X720" s="20"/>
      <c r="Y720" s="20"/>
      <c r="Z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  <c r="V721" s="20"/>
      <c r="W721" s="20"/>
      <c r="X721" s="20"/>
      <c r="Y721" s="20"/>
      <c r="Z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  <c r="V722" s="20"/>
      <c r="W722" s="20"/>
      <c r="X722" s="20"/>
      <c r="Y722" s="20"/>
      <c r="Z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  <c r="Q723" s="20"/>
      <c r="R723" s="20"/>
      <c r="S723" s="20"/>
      <c r="T723" s="20"/>
      <c r="U723" s="20"/>
      <c r="V723" s="20"/>
      <c r="W723" s="20"/>
      <c r="X723" s="20"/>
      <c r="Y723" s="20"/>
      <c r="Z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  <c r="V724" s="20"/>
      <c r="W724" s="20"/>
      <c r="X724" s="20"/>
      <c r="Y724" s="20"/>
      <c r="Z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  <c r="V725" s="20"/>
      <c r="W725" s="20"/>
      <c r="X725" s="20"/>
      <c r="Y725" s="20"/>
      <c r="Z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  <c r="V726" s="20"/>
      <c r="W726" s="20"/>
      <c r="X726" s="20"/>
      <c r="Y726" s="20"/>
      <c r="Z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  <c r="V727" s="20"/>
      <c r="W727" s="20"/>
      <c r="X727" s="20"/>
      <c r="Y727" s="20"/>
      <c r="Z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  <c r="Q729" s="20"/>
      <c r="R729" s="20"/>
      <c r="S729" s="20"/>
      <c r="T729" s="20"/>
      <c r="U729" s="20"/>
      <c r="V729" s="20"/>
      <c r="W729" s="20"/>
      <c r="X729" s="20"/>
      <c r="Y729" s="20"/>
      <c r="Z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  <c r="Q730" s="20"/>
      <c r="R730" s="20"/>
      <c r="S730" s="20"/>
      <c r="T730" s="20"/>
      <c r="U730" s="20"/>
      <c r="V730" s="20"/>
      <c r="W730" s="20"/>
      <c r="X730" s="20"/>
      <c r="Y730" s="20"/>
      <c r="Z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  <c r="V731" s="20"/>
      <c r="W731" s="20"/>
      <c r="X731" s="20"/>
      <c r="Y731" s="20"/>
      <c r="Z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  <c r="V732" s="20"/>
      <c r="W732" s="20"/>
      <c r="X732" s="20"/>
      <c r="Y732" s="20"/>
      <c r="Z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  <c r="V733" s="20"/>
      <c r="W733" s="20"/>
      <c r="X733" s="20"/>
      <c r="Y733" s="20"/>
      <c r="Z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  <c r="V734" s="20"/>
      <c r="W734" s="20"/>
      <c r="X734" s="20"/>
      <c r="Y734" s="20"/>
      <c r="Z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  <c r="V735" s="20"/>
      <c r="W735" s="20"/>
      <c r="X735" s="20"/>
      <c r="Y735" s="20"/>
      <c r="Z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  <c r="V736" s="20"/>
      <c r="W736" s="20"/>
      <c r="X736" s="20"/>
      <c r="Y736" s="20"/>
      <c r="Z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/>
      <c r="S737" s="20"/>
      <c r="T737" s="20"/>
      <c r="U737" s="20"/>
      <c r="V737" s="20"/>
      <c r="W737" s="20"/>
      <c r="X737" s="20"/>
      <c r="Y737" s="20"/>
      <c r="Z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  <c r="Q738" s="20"/>
      <c r="R738" s="20"/>
      <c r="S738" s="20"/>
      <c r="T738" s="20"/>
      <c r="U738" s="20"/>
      <c r="V738" s="20"/>
      <c r="W738" s="20"/>
      <c r="X738" s="20"/>
      <c r="Y738" s="20"/>
      <c r="Z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  <c r="V739" s="20"/>
      <c r="W739" s="20"/>
      <c r="X739" s="20"/>
      <c r="Y739" s="20"/>
      <c r="Z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  <c r="V740" s="20"/>
      <c r="W740" s="20"/>
      <c r="X740" s="20"/>
      <c r="Y740" s="20"/>
      <c r="Z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/>
      <c r="S741" s="20"/>
      <c r="T741" s="20"/>
      <c r="U741" s="20"/>
      <c r="V741" s="20"/>
      <c r="W741" s="20"/>
      <c r="X741" s="20"/>
      <c r="Y741" s="20"/>
      <c r="Z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  <c r="V742" s="20"/>
      <c r="W742" s="20"/>
      <c r="X742" s="20"/>
      <c r="Y742" s="20"/>
      <c r="Z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  <c r="V743" s="20"/>
      <c r="W743" s="20"/>
      <c r="X743" s="20"/>
      <c r="Y743" s="20"/>
      <c r="Z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  <c r="V744" s="20"/>
      <c r="W744" s="20"/>
      <c r="X744" s="20"/>
      <c r="Y744" s="20"/>
      <c r="Z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  <c r="V745" s="20"/>
      <c r="W745" s="20"/>
      <c r="X745" s="20"/>
      <c r="Y745" s="20"/>
      <c r="Z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  <c r="V746" s="20"/>
      <c r="W746" s="20"/>
      <c r="X746" s="20"/>
      <c r="Y746" s="20"/>
      <c r="Z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  <c r="V748" s="20"/>
      <c r="W748" s="20"/>
      <c r="X748" s="20"/>
      <c r="Y748" s="20"/>
      <c r="Z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  <c r="V749" s="20"/>
      <c r="W749" s="20"/>
      <c r="X749" s="20"/>
      <c r="Y749" s="20"/>
      <c r="Z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  <c r="V750" s="20"/>
      <c r="W750" s="20"/>
      <c r="X750" s="20"/>
      <c r="Y750" s="20"/>
      <c r="Z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  <c r="V751" s="20"/>
      <c r="W751" s="20"/>
      <c r="X751" s="20"/>
      <c r="Y751" s="20"/>
      <c r="Z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  <c r="V752" s="20"/>
      <c r="W752" s="20"/>
      <c r="X752" s="20"/>
      <c r="Y752" s="20"/>
      <c r="Z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  <c r="V753" s="20"/>
      <c r="W753" s="20"/>
      <c r="X753" s="20"/>
      <c r="Y753" s="20"/>
      <c r="Z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  <c r="V754" s="20"/>
      <c r="W754" s="20"/>
      <c r="X754" s="20"/>
      <c r="Y754" s="20"/>
      <c r="Z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  <c r="V755" s="20"/>
      <c r="W755" s="20"/>
      <c r="X755" s="20"/>
      <c r="Y755" s="20"/>
      <c r="Z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  <c r="V756" s="20"/>
      <c r="W756" s="20"/>
      <c r="X756" s="20"/>
      <c r="Y756" s="20"/>
      <c r="Z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  <c r="V757" s="20"/>
      <c r="W757" s="20"/>
      <c r="X757" s="20"/>
      <c r="Y757" s="20"/>
      <c r="Z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  <c r="V759" s="20"/>
      <c r="W759" s="20"/>
      <c r="X759" s="20"/>
      <c r="Y759" s="20"/>
      <c r="Z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  <c r="V760" s="20"/>
      <c r="W760" s="20"/>
      <c r="X760" s="20"/>
      <c r="Y760" s="20"/>
      <c r="Z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  <c r="Q761" s="20"/>
      <c r="R761" s="20"/>
      <c r="S761" s="20"/>
      <c r="T761" s="20"/>
      <c r="U761" s="20"/>
      <c r="V761" s="20"/>
      <c r="W761" s="20"/>
      <c r="X761" s="20"/>
      <c r="Y761" s="20"/>
      <c r="Z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  <c r="Q762" s="20"/>
      <c r="R762" s="20"/>
      <c r="S762" s="20"/>
      <c r="T762" s="20"/>
      <c r="U762" s="20"/>
      <c r="V762" s="20"/>
      <c r="W762" s="20"/>
      <c r="X762" s="20"/>
      <c r="Y762" s="20"/>
      <c r="Z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  <c r="V763" s="20"/>
      <c r="W763" s="20"/>
      <c r="X763" s="20"/>
      <c r="Y763" s="20"/>
      <c r="Z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  <c r="Q764" s="20"/>
      <c r="R764" s="20"/>
      <c r="S764" s="20"/>
      <c r="T764" s="20"/>
      <c r="U764" s="20"/>
      <c r="V764" s="20"/>
      <c r="W764" s="20"/>
      <c r="X764" s="20"/>
      <c r="Y764" s="20"/>
      <c r="Z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  <c r="V765" s="20"/>
      <c r="W765" s="20"/>
      <c r="X765" s="20"/>
      <c r="Y765" s="20"/>
      <c r="Z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  <c r="V766" s="20"/>
      <c r="W766" s="20"/>
      <c r="X766" s="20"/>
      <c r="Y766" s="20"/>
      <c r="Z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  <c r="V767" s="20"/>
      <c r="W767" s="20"/>
      <c r="X767" s="20"/>
      <c r="Y767" s="20"/>
      <c r="Z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  <c r="V768" s="20"/>
      <c r="W768" s="20"/>
      <c r="X768" s="20"/>
      <c r="Y768" s="20"/>
      <c r="Z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  <c r="V769" s="20"/>
      <c r="W769" s="20"/>
      <c r="X769" s="20"/>
      <c r="Y769" s="20"/>
      <c r="Z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  <c r="V770" s="20"/>
      <c r="W770" s="20"/>
      <c r="X770" s="20"/>
      <c r="Y770" s="20"/>
      <c r="Z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/>
      <c r="S771" s="20"/>
      <c r="T771" s="20"/>
      <c r="U771" s="20"/>
      <c r="V771" s="20"/>
      <c r="W771" s="20"/>
      <c r="X771" s="20"/>
      <c r="Y771" s="20"/>
      <c r="Z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  <c r="V772" s="20"/>
      <c r="W772" s="20"/>
      <c r="X772" s="20"/>
      <c r="Y772" s="20"/>
      <c r="Z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/>
      <c r="S773" s="20"/>
      <c r="T773" s="20"/>
      <c r="U773" s="20"/>
      <c r="V773" s="20"/>
      <c r="W773" s="20"/>
      <c r="X773" s="20"/>
      <c r="Y773" s="20"/>
      <c r="Z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  <c r="V774" s="20"/>
      <c r="W774" s="20"/>
      <c r="X774" s="20"/>
      <c r="Y774" s="20"/>
      <c r="Z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  <c r="V775" s="20"/>
      <c r="W775" s="20"/>
      <c r="X775" s="20"/>
      <c r="Y775" s="20"/>
      <c r="Z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  <c r="V776" s="20"/>
      <c r="W776" s="20"/>
      <c r="X776" s="20"/>
      <c r="Y776" s="20"/>
      <c r="Z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  <c r="Q777" s="20"/>
      <c r="R777" s="20"/>
      <c r="S777" s="20"/>
      <c r="T777" s="20"/>
      <c r="U777" s="20"/>
      <c r="V777" s="20"/>
      <c r="W777" s="20"/>
      <c r="X777" s="20"/>
      <c r="Y777" s="20"/>
      <c r="Z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  <c r="V778" s="20"/>
      <c r="W778" s="20"/>
      <c r="X778" s="20"/>
      <c r="Y778" s="20"/>
      <c r="Z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  <c r="V779" s="20"/>
      <c r="W779" s="20"/>
      <c r="X779" s="20"/>
      <c r="Y779" s="20"/>
      <c r="Z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  <c r="V780" s="20"/>
      <c r="W780" s="20"/>
      <c r="X780" s="20"/>
      <c r="Y780" s="20"/>
      <c r="Z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/>
      <c r="S781" s="20"/>
      <c r="T781" s="20"/>
      <c r="U781" s="20"/>
      <c r="V781" s="20"/>
      <c r="W781" s="20"/>
      <c r="X781" s="20"/>
      <c r="Y781" s="20"/>
      <c r="Z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  <c r="V782" s="20"/>
      <c r="W782" s="20"/>
      <c r="X782" s="20"/>
      <c r="Y782" s="20"/>
      <c r="Z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  <c r="V783" s="20"/>
      <c r="W783" s="20"/>
      <c r="X783" s="20"/>
      <c r="Y783" s="20"/>
      <c r="Z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  <c r="Q784" s="20"/>
      <c r="R784" s="20"/>
      <c r="S784" s="20"/>
      <c r="T784" s="20"/>
      <c r="U784" s="20"/>
      <c r="V784" s="20"/>
      <c r="W784" s="20"/>
      <c r="X784" s="20"/>
      <c r="Y784" s="20"/>
      <c r="Z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  <c r="V785" s="20"/>
      <c r="W785" s="20"/>
      <c r="X785" s="20"/>
      <c r="Y785" s="20"/>
      <c r="Z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/>
      <c r="S786" s="20"/>
      <c r="T786" s="20"/>
      <c r="U786" s="20"/>
      <c r="V786" s="20"/>
      <c r="W786" s="20"/>
      <c r="X786" s="20"/>
      <c r="Y786" s="20"/>
      <c r="Z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  <c r="V787" s="20"/>
      <c r="W787" s="20"/>
      <c r="X787" s="20"/>
      <c r="Y787" s="20"/>
      <c r="Z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  <c r="V788" s="20"/>
      <c r="W788" s="20"/>
      <c r="X788" s="20"/>
      <c r="Y788" s="20"/>
      <c r="Z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  <c r="V789" s="20"/>
      <c r="W789" s="20"/>
      <c r="X789" s="20"/>
      <c r="Y789" s="20"/>
      <c r="Z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  <c r="V790" s="20"/>
      <c r="W790" s="20"/>
      <c r="X790" s="20"/>
      <c r="Y790" s="20"/>
      <c r="Z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  <c r="V791" s="20"/>
      <c r="W791" s="20"/>
      <c r="X791" s="20"/>
      <c r="Y791" s="20"/>
      <c r="Z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  <c r="V792" s="20"/>
      <c r="W792" s="20"/>
      <c r="X792" s="20"/>
      <c r="Y792" s="20"/>
      <c r="Z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  <c r="V793" s="20"/>
      <c r="W793" s="20"/>
      <c r="X793" s="20"/>
      <c r="Y793" s="20"/>
      <c r="Z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  <c r="V794" s="20"/>
      <c r="W794" s="20"/>
      <c r="X794" s="20"/>
      <c r="Y794" s="20"/>
      <c r="Z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  <c r="Q795" s="20"/>
      <c r="R795" s="20"/>
      <c r="S795" s="20"/>
      <c r="T795" s="20"/>
      <c r="U795" s="20"/>
      <c r="V795" s="20"/>
      <c r="W795" s="20"/>
      <c r="X795" s="20"/>
      <c r="Y795" s="20"/>
      <c r="Z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  <c r="V796" s="20"/>
      <c r="W796" s="20"/>
      <c r="X796" s="20"/>
      <c r="Y796" s="20"/>
      <c r="Z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  <c r="V797" s="20"/>
      <c r="W797" s="20"/>
      <c r="X797" s="20"/>
      <c r="Y797" s="20"/>
      <c r="Z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  <c r="Q798" s="20"/>
      <c r="R798" s="20"/>
      <c r="S798" s="20"/>
      <c r="T798" s="20"/>
      <c r="U798" s="20"/>
      <c r="V798" s="20"/>
      <c r="W798" s="20"/>
      <c r="X798" s="20"/>
      <c r="Y798" s="20"/>
      <c r="Z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  <c r="V799" s="20"/>
      <c r="W799" s="20"/>
      <c r="X799" s="20"/>
      <c r="Y799" s="20"/>
      <c r="Z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  <c r="V800" s="20"/>
      <c r="W800" s="20"/>
      <c r="X800" s="20"/>
      <c r="Y800" s="20"/>
      <c r="Z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  <c r="V801" s="20"/>
      <c r="W801" s="20"/>
      <c r="X801" s="20"/>
      <c r="Y801" s="20"/>
      <c r="Z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  <c r="V802" s="20"/>
      <c r="W802" s="20"/>
      <c r="X802" s="20"/>
      <c r="Y802" s="20"/>
      <c r="Z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  <c r="V803" s="20"/>
      <c r="W803" s="20"/>
      <c r="X803" s="20"/>
      <c r="Y803" s="20"/>
      <c r="Z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  <c r="Q804" s="20"/>
      <c r="R804" s="20"/>
      <c r="S804" s="20"/>
      <c r="T804" s="20"/>
      <c r="U804" s="20"/>
      <c r="V804" s="20"/>
      <c r="W804" s="20"/>
      <c r="X804" s="20"/>
      <c r="Y804" s="20"/>
      <c r="Z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  <c r="V805" s="20"/>
      <c r="W805" s="20"/>
      <c r="X805" s="20"/>
      <c r="Y805" s="20"/>
      <c r="Z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  <c r="V806" s="20"/>
      <c r="W806" s="20"/>
      <c r="X806" s="20"/>
      <c r="Y806" s="20"/>
      <c r="Z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  <c r="V807" s="20"/>
      <c r="W807" s="20"/>
      <c r="X807" s="20"/>
      <c r="Y807" s="20"/>
      <c r="Z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  <c r="V809" s="20"/>
      <c r="W809" s="20"/>
      <c r="X809" s="20"/>
      <c r="Y809" s="20"/>
      <c r="Z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  <c r="V810" s="20"/>
      <c r="W810" s="20"/>
      <c r="X810" s="20"/>
      <c r="Y810" s="20"/>
      <c r="Z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  <c r="V811" s="20"/>
      <c r="W811" s="20"/>
      <c r="X811" s="20"/>
      <c r="Y811" s="20"/>
      <c r="Z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  <c r="Q812" s="20"/>
      <c r="R812" s="20"/>
      <c r="S812" s="20"/>
      <c r="T812" s="20"/>
      <c r="U812" s="20"/>
      <c r="V812" s="20"/>
      <c r="W812" s="20"/>
      <c r="X812" s="20"/>
      <c r="Y812" s="20"/>
      <c r="Z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  <c r="Q813" s="20"/>
      <c r="R813" s="20"/>
      <c r="S813" s="20"/>
      <c r="T813" s="20"/>
      <c r="U813" s="20"/>
      <c r="V813" s="20"/>
      <c r="W813" s="20"/>
      <c r="X813" s="20"/>
      <c r="Y813" s="20"/>
      <c r="Z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  <c r="V814" s="20"/>
      <c r="W814" s="20"/>
      <c r="X814" s="20"/>
      <c r="Y814" s="20"/>
      <c r="Z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  <c r="V815" s="20"/>
      <c r="W815" s="20"/>
      <c r="X815" s="20"/>
      <c r="Y815" s="20"/>
      <c r="Z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  <c r="Q817" s="20"/>
      <c r="R817" s="20"/>
      <c r="S817" s="20"/>
      <c r="T817" s="20"/>
      <c r="U817" s="20"/>
      <c r="V817" s="20"/>
      <c r="W817" s="20"/>
      <c r="X817" s="20"/>
      <c r="Y817" s="20"/>
      <c r="Z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  <c r="Q818" s="20"/>
      <c r="R818" s="20"/>
      <c r="S818" s="20"/>
      <c r="T818" s="20"/>
      <c r="U818" s="20"/>
      <c r="V818" s="20"/>
      <c r="W818" s="20"/>
      <c r="X818" s="20"/>
      <c r="Y818" s="20"/>
      <c r="Z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  <c r="V819" s="20"/>
      <c r="W819" s="20"/>
      <c r="X819" s="20"/>
      <c r="Y819" s="20"/>
      <c r="Z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  <c r="V820" s="20"/>
      <c r="W820" s="20"/>
      <c r="X820" s="20"/>
      <c r="Y820" s="20"/>
      <c r="Z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  <c r="Q821" s="20"/>
      <c r="R821" s="20"/>
      <c r="S821" s="20"/>
      <c r="T821" s="20"/>
      <c r="U821" s="20"/>
      <c r="V821" s="20"/>
      <c r="W821" s="20"/>
      <c r="X821" s="20"/>
      <c r="Y821" s="20"/>
      <c r="Z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  <c r="V822" s="20"/>
      <c r="W822" s="20"/>
      <c r="X822" s="20"/>
      <c r="Y822" s="20"/>
      <c r="Z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  <c r="V823" s="20"/>
      <c r="W823" s="20"/>
      <c r="X823" s="20"/>
      <c r="Y823" s="20"/>
      <c r="Z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  <c r="V824" s="20"/>
      <c r="W824" s="20"/>
      <c r="X824" s="20"/>
      <c r="Y824" s="20"/>
      <c r="Z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  <c r="Q825" s="20"/>
      <c r="R825" s="20"/>
      <c r="S825" s="20"/>
      <c r="T825" s="20"/>
      <c r="U825" s="20"/>
      <c r="V825" s="20"/>
      <c r="W825" s="20"/>
      <c r="X825" s="20"/>
      <c r="Y825" s="20"/>
      <c r="Z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  <c r="V826" s="20"/>
      <c r="W826" s="20"/>
      <c r="X826" s="20"/>
      <c r="Y826" s="20"/>
      <c r="Z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  <c r="V827" s="20"/>
      <c r="W827" s="20"/>
      <c r="X827" s="20"/>
      <c r="Y827" s="20"/>
      <c r="Z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  <c r="V828" s="20"/>
      <c r="W828" s="20"/>
      <c r="X828" s="20"/>
      <c r="Y828" s="20"/>
      <c r="Z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  <c r="V829" s="20"/>
      <c r="W829" s="20"/>
      <c r="X829" s="20"/>
      <c r="Y829" s="20"/>
      <c r="Z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  <c r="Q830" s="20"/>
      <c r="R830" s="20"/>
      <c r="S830" s="20"/>
      <c r="T830" s="20"/>
      <c r="U830" s="20"/>
      <c r="V830" s="20"/>
      <c r="W830" s="20"/>
      <c r="X830" s="20"/>
      <c r="Y830" s="20"/>
      <c r="Z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  <c r="Q831" s="20"/>
      <c r="R831" s="20"/>
      <c r="S831" s="20"/>
      <c r="T831" s="20"/>
      <c r="U831" s="20"/>
      <c r="V831" s="20"/>
      <c r="W831" s="20"/>
      <c r="X831" s="20"/>
      <c r="Y831" s="20"/>
      <c r="Z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  <c r="V832" s="20"/>
      <c r="W832" s="20"/>
      <c r="X832" s="20"/>
      <c r="Y832" s="20"/>
      <c r="Z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  <c r="V833" s="20"/>
      <c r="W833" s="20"/>
      <c r="X833" s="20"/>
      <c r="Y833" s="20"/>
      <c r="Z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  <c r="V834" s="20"/>
      <c r="W834" s="20"/>
      <c r="X834" s="20"/>
      <c r="Y834" s="20"/>
      <c r="Z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  <c r="V835" s="20"/>
      <c r="W835" s="20"/>
      <c r="X835" s="20"/>
      <c r="Y835" s="20"/>
      <c r="Z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  <c r="V837" s="20"/>
      <c r="W837" s="20"/>
      <c r="X837" s="20"/>
      <c r="Y837" s="20"/>
      <c r="Z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  <c r="V838" s="20"/>
      <c r="W838" s="20"/>
      <c r="X838" s="20"/>
      <c r="Y838" s="20"/>
      <c r="Z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  <c r="V839" s="20"/>
      <c r="W839" s="20"/>
      <c r="X839" s="20"/>
      <c r="Y839" s="20"/>
      <c r="Z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  <c r="V840" s="20"/>
      <c r="W840" s="20"/>
      <c r="X840" s="20"/>
      <c r="Y840" s="20"/>
      <c r="Z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  <c r="V841" s="20"/>
      <c r="W841" s="20"/>
      <c r="X841" s="20"/>
      <c r="Y841" s="20"/>
      <c r="Z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  <c r="V842" s="20"/>
      <c r="W842" s="20"/>
      <c r="X842" s="20"/>
      <c r="Y842" s="20"/>
      <c r="Z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  <c r="V843" s="20"/>
      <c r="W843" s="20"/>
      <c r="X843" s="20"/>
      <c r="Y843" s="20"/>
      <c r="Z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  <c r="V844" s="20"/>
      <c r="W844" s="20"/>
      <c r="X844" s="20"/>
      <c r="Y844" s="20"/>
      <c r="Z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  <c r="V845" s="20"/>
      <c r="W845" s="20"/>
      <c r="X845" s="20"/>
      <c r="Y845" s="20"/>
      <c r="Z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  <c r="V847" s="20"/>
      <c r="W847" s="20"/>
      <c r="X847" s="20"/>
      <c r="Y847" s="20"/>
      <c r="Z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  <c r="Q848" s="20"/>
      <c r="R848" s="20"/>
      <c r="S848" s="20"/>
      <c r="T848" s="20"/>
      <c r="U848" s="20"/>
      <c r="V848" s="20"/>
      <c r="W848" s="20"/>
      <c r="X848" s="20"/>
      <c r="Y848" s="20"/>
      <c r="Z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  <c r="V849" s="20"/>
      <c r="W849" s="20"/>
      <c r="X849" s="20"/>
      <c r="Y849" s="20"/>
      <c r="Z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  <c r="V850" s="20"/>
      <c r="W850" s="20"/>
      <c r="X850" s="20"/>
      <c r="Y850" s="20"/>
      <c r="Z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  <c r="V851" s="20"/>
      <c r="W851" s="20"/>
      <c r="X851" s="20"/>
      <c r="Y851" s="20"/>
      <c r="Z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  <c r="V853" s="20"/>
      <c r="W853" s="20"/>
      <c r="X853" s="20"/>
      <c r="Y853" s="20"/>
      <c r="Z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  <c r="V854" s="20"/>
      <c r="W854" s="20"/>
      <c r="X854" s="20"/>
      <c r="Y854" s="20"/>
      <c r="Z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  <c r="V855" s="20"/>
      <c r="W855" s="20"/>
      <c r="X855" s="20"/>
      <c r="Y855" s="20"/>
      <c r="Z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  <c r="Q856" s="20"/>
      <c r="R856" s="20"/>
      <c r="S856" s="20"/>
      <c r="T856" s="20"/>
      <c r="U856" s="20"/>
      <c r="V856" s="20"/>
      <c r="W856" s="20"/>
      <c r="X856" s="20"/>
      <c r="Y856" s="20"/>
      <c r="Z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  <c r="V857" s="20"/>
      <c r="W857" s="20"/>
      <c r="X857" s="20"/>
      <c r="Y857" s="20"/>
      <c r="Z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  <c r="Q858" s="20"/>
      <c r="R858" s="20"/>
      <c r="S858" s="20"/>
      <c r="T858" s="20"/>
      <c r="U858" s="20"/>
      <c r="V858" s="20"/>
      <c r="W858" s="20"/>
      <c r="X858" s="20"/>
      <c r="Y858" s="20"/>
      <c r="Z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  <c r="V859" s="20"/>
      <c r="W859" s="20"/>
      <c r="X859" s="20"/>
      <c r="Y859" s="20"/>
      <c r="Z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  <c r="Q860" s="20"/>
      <c r="R860" s="20"/>
      <c r="S860" s="20"/>
      <c r="T860" s="20"/>
      <c r="U860" s="20"/>
      <c r="V860" s="20"/>
      <c r="W860" s="20"/>
      <c r="X860" s="20"/>
      <c r="Y860" s="20"/>
      <c r="Z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  <c r="V861" s="20"/>
      <c r="W861" s="20"/>
      <c r="X861" s="20"/>
      <c r="Y861" s="20"/>
      <c r="Z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  <c r="V862" s="20"/>
      <c r="W862" s="20"/>
      <c r="X862" s="20"/>
      <c r="Y862" s="20"/>
      <c r="Z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  <c r="V863" s="20"/>
      <c r="W863" s="20"/>
      <c r="X863" s="20"/>
      <c r="Y863" s="20"/>
      <c r="Z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  <c r="V864" s="20"/>
      <c r="W864" s="20"/>
      <c r="X864" s="20"/>
      <c r="Y864" s="20"/>
      <c r="Z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  <c r="V865" s="20"/>
      <c r="W865" s="20"/>
      <c r="X865" s="20"/>
      <c r="Y865" s="20"/>
      <c r="Z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  <c r="V866" s="20"/>
      <c r="W866" s="20"/>
      <c r="X866" s="20"/>
      <c r="Y866" s="20"/>
      <c r="Z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  <c r="V867" s="20"/>
      <c r="W867" s="20"/>
      <c r="X867" s="20"/>
      <c r="Y867" s="20"/>
      <c r="Z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  <c r="V868" s="20"/>
      <c r="W868" s="20"/>
      <c r="X868" s="20"/>
      <c r="Y868" s="20"/>
      <c r="Z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  <c r="V869" s="20"/>
      <c r="W869" s="20"/>
      <c r="X869" s="20"/>
      <c r="Y869" s="20"/>
      <c r="Z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  <c r="V870" s="20"/>
      <c r="W870" s="20"/>
      <c r="X870" s="20"/>
      <c r="Y870" s="20"/>
      <c r="Z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  <c r="V871" s="20"/>
      <c r="W871" s="20"/>
      <c r="X871" s="20"/>
      <c r="Y871" s="20"/>
      <c r="Z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  <c r="V872" s="20"/>
      <c r="W872" s="20"/>
      <c r="X872" s="20"/>
      <c r="Y872" s="20"/>
      <c r="Z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  <c r="V873" s="20"/>
      <c r="W873" s="20"/>
      <c r="X873" s="20"/>
      <c r="Y873" s="20"/>
      <c r="Z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  <c r="V874" s="20"/>
      <c r="W874" s="20"/>
      <c r="X874" s="20"/>
      <c r="Y874" s="20"/>
      <c r="Z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  <c r="V875" s="20"/>
      <c r="W875" s="20"/>
      <c r="X875" s="20"/>
      <c r="Y875" s="20"/>
      <c r="Z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  <c r="V876" s="20"/>
      <c r="W876" s="20"/>
      <c r="X876" s="20"/>
      <c r="Y876" s="20"/>
      <c r="Z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  <c r="V877" s="20"/>
      <c r="W877" s="20"/>
      <c r="X877" s="20"/>
      <c r="Y877" s="20"/>
      <c r="Z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  <c r="V878" s="20"/>
      <c r="W878" s="20"/>
      <c r="X878" s="20"/>
      <c r="Y878" s="20"/>
      <c r="Z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  <c r="V879" s="20"/>
      <c r="W879" s="20"/>
      <c r="X879" s="20"/>
      <c r="Y879" s="20"/>
      <c r="Z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  <c r="Q880" s="20"/>
      <c r="R880" s="20"/>
      <c r="S880" s="20"/>
      <c r="T880" s="20"/>
      <c r="U880" s="20"/>
      <c r="V880" s="20"/>
      <c r="W880" s="20"/>
      <c r="X880" s="20"/>
      <c r="Y880" s="20"/>
      <c r="Z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  <c r="Q881" s="20"/>
      <c r="R881" s="20"/>
      <c r="S881" s="20"/>
      <c r="T881" s="20"/>
      <c r="U881" s="20"/>
      <c r="V881" s="20"/>
      <c r="W881" s="20"/>
      <c r="X881" s="20"/>
      <c r="Y881" s="20"/>
      <c r="Z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  <c r="V882" s="20"/>
      <c r="W882" s="20"/>
      <c r="X882" s="20"/>
      <c r="Y882" s="20"/>
      <c r="Z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  <c r="V883" s="20"/>
      <c r="W883" s="20"/>
      <c r="X883" s="20"/>
      <c r="Y883" s="20"/>
      <c r="Z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  <c r="Q884" s="20"/>
      <c r="R884" s="20"/>
      <c r="S884" s="20"/>
      <c r="T884" s="20"/>
      <c r="U884" s="20"/>
      <c r="V884" s="20"/>
      <c r="W884" s="20"/>
      <c r="X884" s="20"/>
      <c r="Y884" s="20"/>
      <c r="Z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  <c r="V885" s="20"/>
      <c r="W885" s="20"/>
      <c r="X885" s="20"/>
      <c r="Y885" s="20"/>
      <c r="Z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  <c r="V886" s="20"/>
      <c r="W886" s="20"/>
      <c r="X886" s="20"/>
      <c r="Y886" s="20"/>
      <c r="Z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  <c r="V887" s="20"/>
      <c r="W887" s="20"/>
      <c r="X887" s="20"/>
      <c r="Y887" s="20"/>
      <c r="Z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  <c r="V888" s="20"/>
      <c r="W888" s="20"/>
      <c r="X888" s="20"/>
      <c r="Y888" s="20"/>
      <c r="Z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  <c r="V890" s="20"/>
      <c r="W890" s="20"/>
      <c r="X890" s="20"/>
      <c r="Y890" s="20"/>
      <c r="Z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  <c r="V891" s="20"/>
      <c r="W891" s="20"/>
      <c r="X891" s="20"/>
      <c r="Y891" s="20"/>
      <c r="Z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  <c r="V892" s="20"/>
      <c r="W892" s="20"/>
      <c r="X892" s="20"/>
      <c r="Y892" s="20"/>
      <c r="Z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  <c r="Q893" s="20"/>
      <c r="R893" s="20"/>
      <c r="S893" s="20"/>
      <c r="T893" s="20"/>
      <c r="U893" s="20"/>
      <c r="V893" s="20"/>
      <c r="W893" s="20"/>
      <c r="X893" s="20"/>
      <c r="Y893" s="20"/>
      <c r="Z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  <c r="V895" s="20"/>
      <c r="W895" s="20"/>
      <c r="X895" s="20"/>
      <c r="Y895" s="20"/>
      <c r="Z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  <c r="Q896" s="20"/>
      <c r="R896" s="20"/>
      <c r="S896" s="20"/>
      <c r="T896" s="20"/>
      <c r="U896" s="20"/>
      <c r="V896" s="20"/>
      <c r="W896" s="20"/>
      <c r="X896" s="20"/>
      <c r="Y896" s="20"/>
      <c r="Z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  <c r="Q898" s="20"/>
      <c r="R898" s="20"/>
      <c r="S898" s="20"/>
      <c r="T898" s="20"/>
      <c r="U898" s="20"/>
      <c r="V898" s="20"/>
      <c r="W898" s="20"/>
      <c r="X898" s="20"/>
      <c r="Y898" s="20"/>
      <c r="Z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  <c r="Q899" s="20"/>
      <c r="R899" s="20"/>
      <c r="S899" s="20"/>
      <c r="T899" s="20"/>
      <c r="U899" s="20"/>
      <c r="V899" s="20"/>
      <c r="W899" s="20"/>
      <c r="X899" s="20"/>
      <c r="Y899" s="20"/>
      <c r="Z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  <c r="Q901" s="20"/>
      <c r="R901" s="20"/>
      <c r="S901" s="20"/>
      <c r="T901" s="20"/>
      <c r="U901" s="20"/>
      <c r="V901" s="20"/>
      <c r="W901" s="20"/>
      <c r="X901" s="20"/>
      <c r="Y901" s="20"/>
      <c r="Z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  <c r="Q902" s="20"/>
      <c r="R902" s="20"/>
      <c r="S902" s="20"/>
      <c r="T902" s="20"/>
      <c r="U902" s="20"/>
      <c r="V902" s="20"/>
      <c r="W902" s="20"/>
      <c r="X902" s="20"/>
      <c r="Y902" s="20"/>
      <c r="Z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  <c r="Q903" s="20"/>
      <c r="R903" s="20"/>
      <c r="S903" s="20"/>
      <c r="T903" s="20"/>
      <c r="U903" s="20"/>
      <c r="V903" s="20"/>
      <c r="W903" s="20"/>
      <c r="X903" s="20"/>
      <c r="Y903" s="20"/>
      <c r="Z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  <c r="Q905" s="20"/>
      <c r="R905" s="20"/>
      <c r="S905" s="20"/>
      <c r="T905" s="20"/>
      <c r="U905" s="20"/>
      <c r="V905" s="20"/>
      <c r="W905" s="20"/>
      <c r="X905" s="20"/>
      <c r="Y905" s="20"/>
      <c r="Z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  <c r="Q906" s="20"/>
      <c r="R906" s="20"/>
      <c r="S906" s="20"/>
      <c r="T906" s="20"/>
      <c r="U906" s="20"/>
      <c r="V906" s="20"/>
      <c r="W906" s="20"/>
      <c r="X906" s="20"/>
      <c r="Y906" s="20"/>
      <c r="Z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  <c r="Q907" s="20"/>
      <c r="R907" s="20"/>
      <c r="S907" s="20"/>
      <c r="T907" s="20"/>
      <c r="U907" s="20"/>
      <c r="V907" s="20"/>
      <c r="W907" s="20"/>
      <c r="X907" s="20"/>
      <c r="Y907" s="20"/>
      <c r="Z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  <c r="Q908" s="20"/>
      <c r="R908" s="20"/>
      <c r="S908" s="20"/>
      <c r="T908" s="20"/>
      <c r="U908" s="20"/>
      <c r="V908" s="20"/>
      <c r="W908" s="20"/>
      <c r="X908" s="20"/>
      <c r="Y908" s="20"/>
      <c r="Z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  <c r="Q909" s="20"/>
      <c r="R909" s="20"/>
      <c r="S909" s="20"/>
      <c r="T909" s="20"/>
      <c r="U909" s="20"/>
      <c r="V909" s="20"/>
      <c r="W909" s="20"/>
      <c r="X909" s="20"/>
      <c r="Y909" s="20"/>
      <c r="Z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  <c r="Q910" s="20"/>
      <c r="R910" s="20"/>
      <c r="S910" s="20"/>
      <c r="T910" s="20"/>
      <c r="U910" s="20"/>
      <c r="V910" s="20"/>
      <c r="W910" s="20"/>
      <c r="X910" s="20"/>
      <c r="Y910" s="20"/>
      <c r="Z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  <c r="Q911" s="20"/>
      <c r="R911" s="20"/>
      <c r="S911" s="20"/>
      <c r="T911" s="20"/>
      <c r="U911" s="20"/>
      <c r="V911" s="20"/>
      <c r="W911" s="20"/>
      <c r="X911" s="20"/>
      <c r="Y911" s="20"/>
      <c r="Z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  <c r="Q912" s="20"/>
      <c r="R912" s="20"/>
      <c r="S912" s="20"/>
      <c r="T912" s="20"/>
      <c r="U912" s="20"/>
      <c r="V912" s="20"/>
      <c r="W912" s="20"/>
      <c r="X912" s="20"/>
      <c r="Y912" s="20"/>
      <c r="Z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  <c r="Q913" s="20"/>
      <c r="R913" s="20"/>
      <c r="S913" s="20"/>
      <c r="T913" s="20"/>
      <c r="U913" s="20"/>
      <c r="V913" s="20"/>
      <c r="W913" s="20"/>
      <c r="X913" s="20"/>
      <c r="Y913" s="20"/>
      <c r="Z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  <c r="Q914" s="20"/>
      <c r="R914" s="20"/>
      <c r="S914" s="20"/>
      <c r="T914" s="20"/>
      <c r="U914" s="20"/>
      <c r="V914" s="20"/>
      <c r="W914" s="20"/>
      <c r="X914" s="20"/>
      <c r="Y914" s="20"/>
      <c r="Z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  <c r="Q915" s="20"/>
      <c r="R915" s="20"/>
      <c r="S915" s="20"/>
      <c r="T915" s="20"/>
      <c r="U915" s="20"/>
      <c r="V915" s="20"/>
      <c r="W915" s="20"/>
      <c r="X915" s="20"/>
      <c r="Y915" s="20"/>
      <c r="Z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  <c r="Q916" s="20"/>
      <c r="R916" s="20"/>
      <c r="S916" s="20"/>
      <c r="T916" s="20"/>
      <c r="U916" s="20"/>
      <c r="V916" s="20"/>
      <c r="W916" s="20"/>
      <c r="X916" s="20"/>
      <c r="Y916" s="20"/>
      <c r="Z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  <c r="Q917" s="20"/>
      <c r="R917" s="20"/>
      <c r="S917" s="20"/>
      <c r="T917" s="20"/>
      <c r="U917" s="20"/>
      <c r="V917" s="20"/>
      <c r="W917" s="20"/>
      <c r="X917" s="20"/>
      <c r="Y917" s="20"/>
      <c r="Z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  <c r="Q918" s="20"/>
      <c r="R918" s="20"/>
      <c r="S918" s="20"/>
      <c r="T918" s="20"/>
      <c r="U918" s="20"/>
      <c r="V918" s="20"/>
      <c r="W918" s="20"/>
      <c r="X918" s="20"/>
      <c r="Y918" s="20"/>
      <c r="Z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  <c r="Q919" s="20"/>
      <c r="R919" s="20"/>
      <c r="S919" s="20"/>
      <c r="T919" s="20"/>
      <c r="U919" s="20"/>
      <c r="V919" s="20"/>
      <c r="W919" s="20"/>
      <c r="X919" s="20"/>
      <c r="Y919" s="20"/>
      <c r="Z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  <c r="Q920" s="20"/>
      <c r="R920" s="20"/>
      <c r="S920" s="20"/>
      <c r="T920" s="20"/>
      <c r="U920" s="20"/>
      <c r="V920" s="20"/>
      <c r="W920" s="20"/>
      <c r="X920" s="20"/>
      <c r="Y920" s="20"/>
      <c r="Z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  <c r="Q921" s="20"/>
      <c r="R921" s="20"/>
      <c r="S921" s="20"/>
      <c r="T921" s="20"/>
      <c r="U921" s="20"/>
      <c r="V921" s="20"/>
      <c r="W921" s="20"/>
      <c r="X921" s="20"/>
      <c r="Y921" s="20"/>
      <c r="Z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  <c r="Q922" s="20"/>
      <c r="R922" s="20"/>
      <c r="S922" s="20"/>
      <c r="T922" s="20"/>
      <c r="U922" s="20"/>
      <c r="V922" s="20"/>
      <c r="W922" s="20"/>
      <c r="X922" s="20"/>
      <c r="Y922" s="20"/>
      <c r="Z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  <c r="Q923" s="20"/>
      <c r="R923" s="20"/>
      <c r="S923" s="20"/>
      <c r="T923" s="20"/>
      <c r="U923" s="20"/>
      <c r="V923" s="20"/>
      <c r="W923" s="20"/>
      <c r="X923" s="20"/>
      <c r="Y923" s="20"/>
      <c r="Z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  <c r="Q924" s="20"/>
      <c r="R924" s="20"/>
      <c r="S924" s="20"/>
      <c r="T924" s="20"/>
      <c r="U924" s="20"/>
      <c r="V924" s="20"/>
      <c r="W924" s="20"/>
      <c r="X924" s="20"/>
      <c r="Y924" s="20"/>
      <c r="Z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  <c r="Q926" s="20"/>
      <c r="R926" s="20"/>
      <c r="S926" s="20"/>
      <c r="T926" s="20"/>
      <c r="U926" s="20"/>
      <c r="V926" s="20"/>
      <c r="W926" s="20"/>
      <c r="X926" s="20"/>
      <c r="Y926" s="20"/>
      <c r="Z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  <c r="Q932" s="20"/>
      <c r="R932" s="20"/>
      <c r="S932" s="20"/>
      <c r="T932" s="20"/>
      <c r="U932" s="20"/>
      <c r="V932" s="20"/>
      <c r="W932" s="20"/>
      <c r="X932" s="20"/>
      <c r="Y932" s="20"/>
      <c r="Z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  <c r="Q933" s="20"/>
      <c r="R933" s="20"/>
      <c r="S933" s="20"/>
      <c r="T933" s="20"/>
      <c r="U933" s="20"/>
      <c r="V933" s="20"/>
      <c r="W933" s="20"/>
      <c r="X933" s="20"/>
      <c r="Y933" s="20"/>
      <c r="Z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  <c r="Q934" s="20"/>
      <c r="R934" s="20"/>
      <c r="S934" s="20"/>
      <c r="T934" s="20"/>
      <c r="U934" s="20"/>
      <c r="V934" s="20"/>
      <c r="W934" s="20"/>
      <c r="X934" s="20"/>
      <c r="Y934" s="20"/>
      <c r="Z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  <c r="Q935" s="20"/>
      <c r="R935" s="20"/>
      <c r="S935" s="20"/>
      <c r="T935" s="20"/>
      <c r="U935" s="20"/>
      <c r="V935" s="20"/>
      <c r="W935" s="20"/>
      <c r="X935" s="20"/>
      <c r="Y935" s="20"/>
      <c r="Z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  <c r="Q936" s="20"/>
      <c r="R936" s="20"/>
      <c r="S936" s="20"/>
      <c r="T936" s="20"/>
      <c r="U936" s="20"/>
      <c r="V936" s="20"/>
      <c r="W936" s="20"/>
      <c r="X936" s="20"/>
      <c r="Y936" s="20"/>
      <c r="Z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  <c r="Q937" s="20"/>
      <c r="R937" s="20"/>
      <c r="S937" s="20"/>
      <c r="T937" s="20"/>
      <c r="U937" s="20"/>
      <c r="V937" s="20"/>
      <c r="W937" s="20"/>
      <c r="X937" s="20"/>
      <c r="Y937" s="20"/>
      <c r="Z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  <c r="Q938" s="20"/>
      <c r="R938" s="20"/>
      <c r="S938" s="20"/>
      <c r="T938" s="20"/>
      <c r="U938" s="20"/>
      <c r="V938" s="20"/>
      <c r="W938" s="20"/>
      <c r="X938" s="20"/>
      <c r="Y938" s="20"/>
      <c r="Z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  <c r="Q939" s="20"/>
      <c r="R939" s="20"/>
      <c r="S939" s="20"/>
      <c r="T939" s="20"/>
      <c r="U939" s="20"/>
      <c r="V939" s="20"/>
      <c r="W939" s="20"/>
      <c r="X939" s="20"/>
      <c r="Y939" s="20"/>
      <c r="Z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  <c r="Q940" s="20"/>
      <c r="R940" s="20"/>
      <c r="S940" s="20"/>
      <c r="T940" s="20"/>
      <c r="U940" s="20"/>
      <c r="V940" s="20"/>
      <c r="W940" s="20"/>
      <c r="X940" s="20"/>
      <c r="Y940" s="20"/>
      <c r="Z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  <c r="Q941" s="20"/>
      <c r="R941" s="20"/>
      <c r="S941" s="20"/>
      <c r="T941" s="20"/>
      <c r="U941" s="20"/>
      <c r="V941" s="20"/>
      <c r="W941" s="20"/>
      <c r="X941" s="20"/>
      <c r="Y941" s="20"/>
      <c r="Z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  <c r="Q943" s="20"/>
      <c r="R943" s="20"/>
      <c r="S943" s="20"/>
      <c r="T943" s="20"/>
      <c r="U943" s="20"/>
      <c r="V943" s="20"/>
      <c r="W943" s="20"/>
      <c r="X943" s="20"/>
      <c r="Y943" s="20"/>
      <c r="Z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  <c r="Q944" s="20"/>
      <c r="R944" s="20"/>
      <c r="S944" s="20"/>
      <c r="T944" s="20"/>
      <c r="U944" s="20"/>
      <c r="V944" s="20"/>
      <c r="W944" s="20"/>
      <c r="X944" s="20"/>
      <c r="Y944" s="20"/>
      <c r="Z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  <c r="Q945" s="20"/>
      <c r="R945" s="20"/>
      <c r="S945" s="20"/>
      <c r="T945" s="20"/>
      <c r="U945" s="20"/>
      <c r="V945" s="20"/>
      <c r="W945" s="20"/>
      <c r="X945" s="20"/>
      <c r="Y945" s="20"/>
      <c r="Z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  <c r="Q946" s="20"/>
      <c r="R946" s="20"/>
      <c r="S946" s="20"/>
      <c r="T946" s="20"/>
      <c r="U946" s="20"/>
      <c r="V946" s="20"/>
      <c r="W946" s="20"/>
      <c r="X946" s="20"/>
      <c r="Y946" s="20"/>
      <c r="Z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  <c r="Q947" s="20"/>
      <c r="R947" s="20"/>
      <c r="S947" s="20"/>
      <c r="T947" s="20"/>
      <c r="U947" s="20"/>
      <c r="V947" s="20"/>
      <c r="W947" s="20"/>
      <c r="X947" s="20"/>
      <c r="Y947" s="20"/>
      <c r="Z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  <c r="Q948" s="20"/>
      <c r="R948" s="20"/>
      <c r="S948" s="20"/>
      <c r="T948" s="20"/>
      <c r="U948" s="20"/>
      <c r="V948" s="20"/>
      <c r="W948" s="20"/>
      <c r="X948" s="20"/>
      <c r="Y948" s="20"/>
      <c r="Z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  <c r="Q949" s="20"/>
      <c r="R949" s="20"/>
      <c r="S949" s="20"/>
      <c r="T949" s="20"/>
      <c r="U949" s="20"/>
      <c r="V949" s="20"/>
      <c r="W949" s="20"/>
      <c r="X949" s="20"/>
      <c r="Y949" s="20"/>
      <c r="Z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  <c r="Q952" s="20"/>
      <c r="R952" s="20"/>
      <c r="S952" s="20"/>
      <c r="T952" s="20"/>
      <c r="U952" s="20"/>
      <c r="V952" s="20"/>
      <c r="W952" s="20"/>
      <c r="X952" s="20"/>
      <c r="Y952" s="20"/>
      <c r="Z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  <c r="Q953" s="20"/>
      <c r="R953" s="20"/>
      <c r="S953" s="20"/>
      <c r="T953" s="20"/>
      <c r="U953" s="20"/>
      <c r="V953" s="20"/>
      <c r="W953" s="20"/>
      <c r="X953" s="20"/>
      <c r="Y953" s="20"/>
      <c r="Z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  <c r="Q954" s="20"/>
      <c r="R954" s="20"/>
      <c r="S954" s="20"/>
      <c r="T954" s="20"/>
      <c r="U954" s="20"/>
      <c r="V954" s="20"/>
      <c r="W954" s="20"/>
      <c r="X954" s="20"/>
      <c r="Y954" s="20"/>
      <c r="Z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  <c r="Q956" s="20"/>
      <c r="R956" s="20"/>
      <c r="S956" s="20"/>
      <c r="T956" s="20"/>
      <c r="U956" s="20"/>
      <c r="V956" s="20"/>
      <c r="W956" s="20"/>
      <c r="X956" s="20"/>
      <c r="Y956" s="20"/>
      <c r="Z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  <c r="Q957" s="20"/>
      <c r="R957" s="20"/>
      <c r="S957" s="20"/>
      <c r="T957" s="20"/>
      <c r="U957" s="20"/>
      <c r="V957" s="20"/>
      <c r="W957" s="20"/>
      <c r="X957" s="20"/>
      <c r="Y957" s="20"/>
      <c r="Z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  <c r="Q958" s="20"/>
      <c r="R958" s="20"/>
      <c r="S958" s="20"/>
      <c r="T958" s="20"/>
      <c r="U958" s="20"/>
      <c r="V958" s="20"/>
      <c r="W958" s="20"/>
      <c r="X958" s="20"/>
      <c r="Y958" s="20"/>
      <c r="Z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  <c r="Q959" s="20"/>
      <c r="R959" s="20"/>
      <c r="S959" s="20"/>
      <c r="T959" s="20"/>
      <c r="U959" s="20"/>
      <c r="V959" s="20"/>
      <c r="W959" s="20"/>
      <c r="X959" s="20"/>
      <c r="Y959" s="20"/>
      <c r="Z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  <c r="Q960" s="20"/>
      <c r="R960" s="20"/>
      <c r="S960" s="20"/>
      <c r="T960" s="20"/>
      <c r="U960" s="20"/>
      <c r="V960" s="20"/>
      <c r="W960" s="20"/>
      <c r="X960" s="20"/>
      <c r="Y960" s="20"/>
      <c r="Z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  <c r="Q961" s="20"/>
      <c r="R961" s="20"/>
      <c r="S961" s="20"/>
      <c r="T961" s="20"/>
      <c r="U961" s="20"/>
      <c r="V961" s="20"/>
      <c r="W961" s="20"/>
      <c r="X961" s="20"/>
      <c r="Y961" s="20"/>
      <c r="Z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  <c r="Q962" s="20"/>
      <c r="R962" s="20"/>
      <c r="S962" s="20"/>
      <c r="T962" s="20"/>
      <c r="U962" s="20"/>
      <c r="V962" s="20"/>
      <c r="W962" s="20"/>
      <c r="X962" s="20"/>
      <c r="Y962" s="20"/>
      <c r="Z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  <c r="Q963" s="20"/>
      <c r="R963" s="20"/>
      <c r="S963" s="20"/>
      <c r="T963" s="20"/>
      <c r="U963" s="20"/>
      <c r="V963" s="20"/>
      <c r="W963" s="20"/>
      <c r="X963" s="20"/>
      <c r="Y963" s="20"/>
      <c r="Z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  <c r="Q964" s="20"/>
      <c r="R964" s="20"/>
      <c r="S964" s="20"/>
      <c r="T964" s="20"/>
      <c r="U964" s="20"/>
      <c r="V964" s="20"/>
      <c r="W964" s="20"/>
      <c r="X964" s="20"/>
      <c r="Y964" s="20"/>
      <c r="Z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  <c r="Q965" s="20"/>
      <c r="R965" s="20"/>
      <c r="S965" s="20"/>
      <c r="T965" s="20"/>
      <c r="U965" s="20"/>
      <c r="V965" s="20"/>
      <c r="W965" s="20"/>
      <c r="X965" s="20"/>
      <c r="Y965" s="20"/>
      <c r="Z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  <c r="Q966" s="20"/>
      <c r="R966" s="20"/>
      <c r="S966" s="20"/>
      <c r="T966" s="20"/>
      <c r="U966" s="20"/>
      <c r="V966" s="20"/>
      <c r="W966" s="20"/>
      <c r="X966" s="20"/>
      <c r="Y966" s="20"/>
      <c r="Z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  <c r="Q967" s="20"/>
      <c r="R967" s="20"/>
      <c r="S967" s="20"/>
      <c r="T967" s="20"/>
      <c r="U967" s="20"/>
      <c r="V967" s="20"/>
      <c r="W967" s="20"/>
      <c r="X967" s="20"/>
      <c r="Y967" s="20"/>
      <c r="Z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  <c r="Q968" s="20"/>
      <c r="R968" s="20"/>
      <c r="S968" s="20"/>
      <c r="T968" s="20"/>
      <c r="U968" s="20"/>
      <c r="V968" s="20"/>
      <c r="W968" s="20"/>
      <c r="X968" s="20"/>
      <c r="Y968" s="20"/>
      <c r="Z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  <c r="Q969" s="20"/>
      <c r="R969" s="20"/>
      <c r="S969" s="20"/>
      <c r="T969" s="20"/>
      <c r="U969" s="20"/>
      <c r="V969" s="20"/>
      <c r="W969" s="20"/>
      <c r="X969" s="20"/>
      <c r="Y969" s="20"/>
      <c r="Z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  <c r="Q970" s="20"/>
      <c r="R970" s="20"/>
      <c r="S970" s="20"/>
      <c r="T970" s="20"/>
      <c r="U970" s="20"/>
      <c r="V970" s="20"/>
      <c r="W970" s="20"/>
      <c r="X970" s="20"/>
      <c r="Y970" s="20"/>
      <c r="Z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  <c r="Q971" s="20"/>
      <c r="R971" s="20"/>
      <c r="S971" s="20"/>
      <c r="T971" s="20"/>
      <c r="U971" s="20"/>
      <c r="V971" s="20"/>
      <c r="W971" s="20"/>
      <c r="X971" s="20"/>
      <c r="Y971" s="20"/>
      <c r="Z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  <c r="Q972" s="20"/>
      <c r="R972" s="20"/>
      <c r="S972" s="20"/>
      <c r="T972" s="20"/>
      <c r="U972" s="20"/>
      <c r="V972" s="20"/>
      <c r="W972" s="20"/>
      <c r="X972" s="20"/>
      <c r="Y972" s="20"/>
      <c r="Z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  <c r="Q973" s="20"/>
      <c r="R973" s="20"/>
      <c r="S973" s="20"/>
      <c r="T973" s="20"/>
      <c r="U973" s="20"/>
      <c r="V973" s="20"/>
      <c r="W973" s="20"/>
      <c r="X973" s="20"/>
      <c r="Y973" s="20"/>
      <c r="Z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  <c r="Q974" s="20"/>
      <c r="R974" s="20"/>
      <c r="S974" s="20"/>
      <c r="T974" s="20"/>
      <c r="U974" s="20"/>
      <c r="V974" s="20"/>
      <c r="W974" s="20"/>
      <c r="X974" s="20"/>
      <c r="Y974" s="20"/>
      <c r="Z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  <c r="Q975" s="20"/>
      <c r="R975" s="20"/>
      <c r="S975" s="20"/>
      <c r="T975" s="20"/>
      <c r="U975" s="20"/>
      <c r="V975" s="20"/>
      <c r="W975" s="20"/>
      <c r="X975" s="20"/>
      <c r="Y975" s="20"/>
      <c r="Z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  <c r="Q976" s="20"/>
      <c r="R976" s="20"/>
      <c r="S976" s="20"/>
      <c r="T976" s="20"/>
      <c r="U976" s="20"/>
      <c r="V976" s="20"/>
      <c r="W976" s="20"/>
      <c r="X976" s="20"/>
      <c r="Y976" s="20"/>
      <c r="Z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  <c r="Q977" s="20"/>
      <c r="R977" s="20"/>
      <c r="S977" s="20"/>
      <c r="T977" s="20"/>
      <c r="U977" s="20"/>
      <c r="V977" s="20"/>
      <c r="W977" s="20"/>
      <c r="X977" s="20"/>
      <c r="Y977" s="20"/>
      <c r="Z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  <c r="Q978" s="20"/>
      <c r="R978" s="20"/>
      <c r="S978" s="20"/>
      <c r="T978" s="20"/>
      <c r="U978" s="20"/>
      <c r="V978" s="20"/>
      <c r="W978" s="20"/>
      <c r="X978" s="20"/>
      <c r="Y978" s="20"/>
      <c r="Z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  <c r="Q979" s="20"/>
      <c r="R979" s="20"/>
      <c r="S979" s="20"/>
      <c r="T979" s="20"/>
      <c r="U979" s="20"/>
      <c r="V979" s="20"/>
      <c r="W979" s="20"/>
      <c r="X979" s="20"/>
      <c r="Y979" s="20"/>
      <c r="Z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  <c r="Q980" s="20"/>
      <c r="R980" s="20"/>
      <c r="S980" s="20"/>
      <c r="T980" s="20"/>
      <c r="U980" s="20"/>
      <c r="V980" s="20"/>
      <c r="W980" s="20"/>
      <c r="X980" s="20"/>
      <c r="Y980" s="20"/>
      <c r="Z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  <c r="Q981" s="20"/>
      <c r="R981" s="20"/>
      <c r="S981" s="20"/>
      <c r="T981" s="20"/>
      <c r="U981" s="20"/>
      <c r="V981" s="20"/>
      <c r="W981" s="20"/>
      <c r="X981" s="20"/>
      <c r="Y981" s="20"/>
      <c r="Z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  <c r="Q982" s="20"/>
      <c r="R982" s="20"/>
      <c r="S982" s="20"/>
      <c r="T982" s="20"/>
      <c r="U982" s="20"/>
      <c r="V982" s="20"/>
      <c r="W982" s="20"/>
      <c r="X982" s="20"/>
      <c r="Y982" s="20"/>
      <c r="Z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  <c r="Q983" s="20"/>
      <c r="R983" s="20"/>
      <c r="S983" s="20"/>
      <c r="T983" s="20"/>
      <c r="U983" s="20"/>
      <c r="V983" s="20"/>
      <c r="W983" s="20"/>
      <c r="X983" s="20"/>
      <c r="Y983" s="20"/>
      <c r="Z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  <c r="Q984" s="20"/>
      <c r="R984" s="20"/>
      <c r="S984" s="20"/>
      <c r="T984" s="20"/>
      <c r="U984" s="20"/>
      <c r="V984" s="20"/>
      <c r="W984" s="20"/>
      <c r="X984" s="20"/>
      <c r="Y984" s="20"/>
      <c r="Z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  <c r="Q985" s="20"/>
      <c r="R985" s="20"/>
      <c r="S985" s="20"/>
      <c r="T985" s="20"/>
      <c r="U985" s="20"/>
      <c r="V985" s="20"/>
      <c r="W985" s="20"/>
      <c r="X985" s="20"/>
      <c r="Y985" s="20"/>
      <c r="Z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  <c r="Q986" s="20"/>
      <c r="R986" s="20"/>
      <c r="S986" s="20"/>
      <c r="T986" s="20"/>
      <c r="U986" s="20"/>
      <c r="V986" s="20"/>
      <c r="W986" s="20"/>
      <c r="X986" s="20"/>
      <c r="Y986" s="20"/>
      <c r="Z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  <c r="Q987" s="20"/>
      <c r="R987" s="20"/>
      <c r="S987" s="20"/>
      <c r="T987" s="20"/>
      <c r="U987" s="20"/>
      <c r="V987" s="20"/>
      <c r="W987" s="20"/>
      <c r="X987" s="20"/>
      <c r="Y987" s="20"/>
      <c r="Z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  <c r="Q988" s="20"/>
      <c r="R988" s="20"/>
      <c r="S988" s="20"/>
      <c r="T988" s="20"/>
      <c r="U988" s="20"/>
      <c r="V988" s="20"/>
      <c r="W988" s="20"/>
      <c r="X988" s="20"/>
      <c r="Y988" s="20"/>
      <c r="Z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  <c r="Q989" s="20"/>
      <c r="R989" s="20"/>
      <c r="S989" s="20"/>
      <c r="T989" s="20"/>
      <c r="U989" s="20"/>
      <c r="V989" s="20"/>
      <c r="W989" s="20"/>
      <c r="X989" s="20"/>
      <c r="Y989" s="20"/>
      <c r="Z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  <c r="Q990" s="20"/>
      <c r="R990" s="20"/>
      <c r="S990" s="20"/>
      <c r="T990" s="20"/>
      <c r="U990" s="20"/>
      <c r="V990" s="20"/>
      <c r="W990" s="20"/>
      <c r="X990" s="20"/>
      <c r="Y990" s="20"/>
      <c r="Z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  <c r="Q991" s="20"/>
      <c r="R991" s="20"/>
      <c r="S991" s="20"/>
      <c r="T991" s="20"/>
      <c r="U991" s="20"/>
      <c r="V991" s="20"/>
      <c r="W991" s="20"/>
      <c r="X991" s="20"/>
      <c r="Y991" s="20"/>
      <c r="Z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  <c r="Q992" s="20"/>
      <c r="R992" s="20"/>
      <c r="S992" s="20"/>
      <c r="T992" s="20"/>
      <c r="U992" s="20"/>
      <c r="V992" s="20"/>
      <c r="W992" s="20"/>
      <c r="X992" s="20"/>
      <c r="Y992" s="20"/>
      <c r="Z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  <c r="Q993" s="20"/>
      <c r="R993" s="20"/>
      <c r="S993" s="20"/>
      <c r="T993" s="20"/>
      <c r="U993" s="20"/>
      <c r="V993" s="20"/>
      <c r="W993" s="20"/>
      <c r="X993" s="20"/>
      <c r="Y993" s="20"/>
      <c r="Z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  <c r="Q994" s="20"/>
      <c r="R994" s="20"/>
      <c r="S994" s="20"/>
      <c r="T994" s="20"/>
      <c r="U994" s="20"/>
      <c r="V994" s="20"/>
      <c r="W994" s="20"/>
      <c r="X994" s="20"/>
      <c r="Y994" s="20"/>
      <c r="Z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  <c r="Q995" s="20"/>
      <c r="R995" s="20"/>
      <c r="S995" s="20"/>
      <c r="T995" s="20"/>
      <c r="U995" s="20"/>
      <c r="V995" s="20"/>
      <c r="W995" s="20"/>
      <c r="X995" s="20"/>
      <c r="Y995" s="20"/>
      <c r="Z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  <c r="Q996" s="20"/>
      <c r="R996" s="20"/>
      <c r="S996" s="20"/>
      <c r="T996" s="20"/>
      <c r="U996" s="20"/>
      <c r="V996" s="20"/>
      <c r="W996" s="20"/>
      <c r="X996" s="20"/>
      <c r="Y996" s="20"/>
      <c r="Z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  <c r="Q997" s="20"/>
      <c r="R997" s="20"/>
      <c r="S997" s="20"/>
      <c r="T997" s="20"/>
      <c r="U997" s="20"/>
      <c r="V997" s="20"/>
      <c r="W997" s="20"/>
      <c r="X997" s="20"/>
      <c r="Y997" s="20"/>
      <c r="Z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  <c r="Q998" s="20"/>
      <c r="R998" s="20"/>
      <c r="S998" s="20"/>
      <c r="T998" s="20"/>
      <c r="U998" s="20"/>
      <c r="V998" s="20"/>
      <c r="W998" s="20"/>
      <c r="X998" s="20"/>
      <c r="Y998" s="20"/>
      <c r="Z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  <c r="Q999" s="20"/>
      <c r="R999" s="20"/>
      <c r="S999" s="20"/>
      <c r="T999" s="20"/>
      <c r="U999" s="20"/>
      <c r="V999" s="20"/>
      <c r="W999" s="20"/>
      <c r="X999" s="20"/>
      <c r="Y999" s="20"/>
      <c r="Z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  <c r="Q1000" s="20"/>
      <c r="R1000" s="20"/>
      <c r="S1000" s="20"/>
      <c r="T1000" s="20"/>
      <c r="U1000" s="20"/>
      <c r="V1000" s="20"/>
      <c r="W1000" s="20"/>
      <c r="X1000" s="20"/>
      <c r="Y1000" s="20"/>
      <c r="Z1000" s="20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  <c r="Q1001" s="20"/>
      <c r="R1001" s="20"/>
      <c r="S1001" s="20"/>
      <c r="T1001" s="20"/>
      <c r="U1001" s="20"/>
      <c r="V1001" s="20"/>
      <c r="W1001" s="20"/>
      <c r="X1001" s="20"/>
      <c r="Y1001" s="20"/>
      <c r="Z1001" s="20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  <c r="Q1002" s="20"/>
      <c r="R1002" s="20"/>
      <c r="S1002" s="20"/>
      <c r="T1002" s="20"/>
      <c r="U1002" s="20"/>
      <c r="V1002" s="20"/>
      <c r="W1002" s="20"/>
      <c r="X1002" s="20"/>
      <c r="Y1002" s="20"/>
      <c r="Z1002" s="20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  <c r="Q1003" s="20"/>
      <c r="R1003" s="20"/>
      <c r="S1003" s="20"/>
      <c r="T1003" s="20"/>
      <c r="U1003" s="20"/>
      <c r="V1003" s="20"/>
      <c r="W1003" s="20"/>
      <c r="X1003" s="20"/>
      <c r="Y1003" s="20"/>
      <c r="Z1003" s="20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  <c r="Q1004" s="20"/>
      <c r="R1004" s="20"/>
      <c r="S1004" s="20"/>
      <c r="T1004" s="20"/>
      <c r="U1004" s="20"/>
      <c r="V1004" s="20"/>
      <c r="W1004" s="20"/>
      <c r="X1004" s="20"/>
      <c r="Y1004" s="20"/>
      <c r="Z1004" s="20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  <c r="Q1005" s="20"/>
      <c r="R1005" s="20"/>
      <c r="S1005" s="20"/>
      <c r="T1005" s="20"/>
      <c r="U1005" s="20"/>
      <c r="V1005" s="20"/>
      <c r="W1005" s="20"/>
      <c r="X1005" s="20"/>
      <c r="Y1005" s="20"/>
      <c r="Z1005" s="20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  <c r="Q1006" s="20"/>
      <c r="R1006" s="20"/>
      <c r="S1006" s="20"/>
      <c r="T1006" s="20"/>
      <c r="U1006" s="20"/>
      <c r="V1006" s="20"/>
      <c r="W1006" s="20"/>
      <c r="X1006" s="20"/>
      <c r="Y1006" s="20"/>
      <c r="Z1006" s="20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  <c r="Q1007" s="20"/>
      <c r="R1007" s="20"/>
      <c r="S1007" s="20"/>
      <c r="T1007" s="20"/>
      <c r="U1007" s="20"/>
      <c r="V1007" s="20"/>
      <c r="W1007" s="20"/>
      <c r="X1007" s="20"/>
      <c r="Y1007" s="20"/>
      <c r="Z1007" s="20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  <c r="Q1008" s="20"/>
      <c r="R1008" s="20"/>
      <c r="S1008" s="20"/>
      <c r="T1008" s="20"/>
      <c r="U1008" s="20"/>
      <c r="V1008" s="20"/>
      <c r="W1008" s="20"/>
      <c r="X1008" s="20"/>
      <c r="Y1008" s="20"/>
      <c r="Z1008" s="20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  <c r="Q1009" s="20"/>
      <c r="R1009" s="20"/>
      <c r="S1009" s="20"/>
      <c r="T1009" s="20"/>
      <c r="U1009" s="20"/>
      <c r="V1009" s="20"/>
      <c r="W1009" s="20"/>
      <c r="X1009" s="20"/>
      <c r="Y1009" s="20"/>
      <c r="Z1009" s="20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  <c r="Q1010" s="20"/>
      <c r="R1010" s="20"/>
      <c r="S1010" s="20"/>
      <c r="T1010" s="20"/>
      <c r="U1010" s="20"/>
      <c r="V1010" s="20"/>
      <c r="W1010" s="20"/>
      <c r="X1010" s="20"/>
      <c r="Y1010" s="20"/>
      <c r="Z1010" s="20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  <c r="Q1011" s="20"/>
      <c r="R1011" s="20"/>
      <c r="S1011" s="20"/>
      <c r="T1011" s="20"/>
      <c r="U1011" s="20"/>
      <c r="V1011" s="20"/>
      <c r="W1011" s="20"/>
      <c r="X1011" s="20"/>
      <c r="Y1011" s="20"/>
      <c r="Z1011" s="20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  <c r="Q1012" s="20"/>
      <c r="R1012" s="20"/>
      <c r="S1012" s="20"/>
      <c r="T1012" s="20"/>
      <c r="U1012" s="20"/>
      <c r="V1012" s="20"/>
      <c r="W1012" s="20"/>
      <c r="X1012" s="20"/>
      <c r="Y1012" s="20"/>
      <c r="Z1012" s="20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  <c r="Q1013" s="20"/>
      <c r="R1013" s="20"/>
      <c r="S1013" s="20"/>
      <c r="T1013" s="20"/>
      <c r="U1013" s="20"/>
      <c r="V1013" s="20"/>
      <c r="W1013" s="20"/>
      <c r="X1013" s="20"/>
      <c r="Y1013" s="20"/>
      <c r="Z1013" s="20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  <c r="Q1014" s="20"/>
      <c r="R1014" s="20"/>
      <c r="S1014" s="20"/>
      <c r="T1014" s="20"/>
      <c r="U1014" s="20"/>
      <c r="V1014" s="20"/>
      <c r="W1014" s="20"/>
      <c r="X1014" s="20"/>
      <c r="Y1014" s="20"/>
      <c r="Z1014" s="20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  <c r="Q1015" s="20"/>
      <c r="R1015" s="20"/>
      <c r="S1015" s="20"/>
      <c r="T1015" s="20"/>
      <c r="U1015" s="20"/>
      <c r="V1015" s="20"/>
      <c r="W1015" s="20"/>
      <c r="X1015" s="20"/>
      <c r="Y1015" s="20"/>
      <c r="Z1015" s="20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  <c r="Q1016" s="20"/>
      <c r="R1016" s="20"/>
      <c r="S1016" s="20"/>
      <c r="T1016" s="20"/>
      <c r="U1016" s="20"/>
      <c r="V1016" s="20"/>
      <c r="W1016" s="20"/>
      <c r="X1016" s="20"/>
      <c r="Y1016" s="20"/>
      <c r="Z1016" s="20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  <c r="Q1017" s="20"/>
      <c r="R1017" s="20"/>
      <c r="S1017" s="20"/>
      <c r="T1017" s="20"/>
      <c r="U1017" s="20"/>
      <c r="V1017" s="20"/>
      <c r="W1017" s="20"/>
      <c r="X1017" s="20"/>
      <c r="Y1017" s="20"/>
      <c r="Z1017" s="20"/>
    </row>
    <row r="1018" ht="15.75" customHeight="1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  <c r="Q1018" s="20"/>
      <c r="R1018" s="20"/>
      <c r="S1018" s="20"/>
      <c r="T1018" s="20"/>
      <c r="U1018" s="20"/>
      <c r="V1018" s="20"/>
      <c r="W1018" s="20"/>
      <c r="X1018" s="20"/>
      <c r="Y1018" s="20"/>
      <c r="Z1018" s="20"/>
    </row>
    <row r="1019" ht="15.75" customHeight="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  <c r="Q1019" s="20"/>
      <c r="R1019" s="20"/>
      <c r="S1019" s="20"/>
      <c r="T1019" s="20"/>
      <c r="U1019" s="20"/>
      <c r="V1019" s="20"/>
      <c r="W1019" s="20"/>
      <c r="X1019" s="20"/>
      <c r="Y1019" s="20"/>
      <c r="Z1019" s="20"/>
    </row>
    <row r="1020" ht="15.75" customHeight="1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  <c r="Q1020" s="20"/>
      <c r="R1020" s="20"/>
      <c r="S1020" s="20"/>
      <c r="T1020" s="20"/>
      <c r="U1020" s="20"/>
      <c r="V1020" s="20"/>
      <c r="W1020" s="20"/>
      <c r="X1020" s="20"/>
      <c r="Y1020" s="20"/>
      <c r="Z1020" s="20"/>
    </row>
    <row r="1021" ht="15.75" customHeight="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  <c r="Q1021" s="20"/>
      <c r="R1021" s="20"/>
      <c r="S1021" s="20"/>
      <c r="T1021" s="20"/>
      <c r="U1021" s="20"/>
      <c r="V1021" s="20"/>
      <c r="W1021" s="20"/>
      <c r="X1021" s="20"/>
      <c r="Y1021" s="20"/>
      <c r="Z1021" s="20"/>
    </row>
    <row r="1022" ht="15.75" customHeight="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  <c r="Q1022" s="20"/>
      <c r="R1022" s="20"/>
      <c r="S1022" s="20"/>
      <c r="T1022" s="20"/>
      <c r="U1022" s="20"/>
      <c r="V1022" s="20"/>
      <c r="W1022" s="20"/>
      <c r="X1022" s="20"/>
      <c r="Y1022" s="20"/>
      <c r="Z1022" s="20"/>
    </row>
    <row r="1023" ht="15.75" customHeight="1">
      <c r="A1023" s="20"/>
      <c r="B1023" s="20"/>
      <c r="C1023" s="20"/>
      <c r="D1023" s="20"/>
      <c r="E1023" s="20"/>
      <c r="F1023" s="20"/>
      <c r="G1023" s="20"/>
      <c r="H1023" s="20"/>
      <c r="I1023" s="20"/>
      <c r="J1023" s="20"/>
      <c r="K1023" s="20"/>
      <c r="L1023" s="20"/>
      <c r="M1023" s="20"/>
      <c r="N1023" s="20"/>
      <c r="O1023" s="20"/>
      <c r="P1023" s="20"/>
      <c r="Q1023" s="20"/>
      <c r="R1023" s="20"/>
      <c r="S1023" s="20"/>
      <c r="T1023" s="20"/>
      <c r="U1023" s="20"/>
      <c r="V1023" s="20"/>
      <c r="W1023" s="20"/>
      <c r="X1023" s="20"/>
      <c r="Y1023" s="20"/>
      <c r="Z1023" s="20"/>
    </row>
    <row r="1024" ht="15.75" customHeight="1">
      <c r="A1024" s="20"/>
      <c r="B1024" s="20"/>
      <c r="C1024" s="20"/>
      <c r="D1024" s="20"/>
      <c r="E1024" s="20"/>
      <c r="F1024" s="20"/>
      <c r="G1024" s="20"/>
      <c r="H1024" s="20"/>
      <c r="I1024" s="20"/>
      <c r="J1024" s="20"/>
      <c r="K1024" s="20"/>
      <c r="L1024" s="20"/>
      <c r="M1024" s="20"/>
      <c r="N1024" s="20"/>
      <c r="O1024" s="20"/>
      <c r="P1024" s="20"/>
      <c r="Q1024" s="20"/>
      <c r="R1024" s="20"/>
      <c r="S1024" s="20"/>
      <c r="T1024" s="20"/>
      <c r="U1024" s="20"/>
      <c r="V1024" s="20"/>
      <c r="W1024" s="20"/>
      <c r="X1024" s="20"/>
      <c r="Y1024" s="20"/>
      <c r="Z1024" s="20"/>
    </row>
    <row r="1025" ht="15.75" customHeight="1">
      <c r="A1025" s="20"/>
      <c r="B1025" s="20"/>
      <c r="C1025" s="20"/>
      <c r="D1025" s="20"/>
      <c r="E1025" s="20"/>
      <c r="F1025" s="20"/>
      <c r="G1025" s="20"/>
      <c r="H1025" s="20"/>
      <c r="I1025" s="20"/>
      <c r="J1025" s="20"/>
      <c r="K1025" s="20"/>
      <c r="L1025" s="20"/>
      <c r="M1025" s="20"/>
      <c r="N1025" s="20"/>
      <c r="O1025" s="20"/>
      <c r="P1025" s="20"/>
      <c r="Q1025" s="20"/>
      <c r="R1025" s="20"/>
      <c r="S1025" s="20"/>
      <c r="T1025" s="20"/>
      <c r="U1025" s="20"/>
      <c r="V1025" s="20"/>
      <c r="W1025" s="20"/>
      <c r="X1025" s="20"/>
      <c r="Y1025" s="20"/>
      <c r="Z1025" s="20"/>
    </row>
    <row r="1026" ht="15.75" customHeight="1">
      <c r="A1026" s="20"/>
      <c r="B1026" s="20"/>
      <c r="C1026" s="20"/>
      <c r="D1026" s="20"/>
      <c r="E1026" s="20"/>
      <c r="F1026" s="20"/>
      <c r="G1026" s="20"/>
      <c r="H1026" s="20"/>
      <c r="I1026" s="20"/>
      <c r="J1026" s="20"/>
      <c r="K1026" s="20"/>
      <c r="L1026" s="20"/>
      <c r="M1026" s="20"/>
      <c r="N1026" s="20"/>
      <c r="O1026" s="20"/>
      <c r="P1026" s="20"/>
      <c r="Q1026" s="20"/>
      <c r="R1026" s="20"/>
      <c r="S1026" s="20"/>
      <c r="T1026" s="20"/>
      <c r="U1026" s="20"/>
      <c r="V1026" s="20"/>
      <c r="W1026" s="20"/>
      <c r="X1026" s="20"/>
      <c r="Y1026" s="20"/>
      <c r="Z1026" s="20"/>
    </row>
    <row r="1027" ht="15.75" customHeight="1">
      <c r="A1027" s="20"/>
      <c r="B1027" s="20"/>
      <c r="C1027" s="20"/>
      <c r="D1027" s="20"/>
      <c r="E1027" s="20"/>
      <c r="F1027" s="20"/>
      <c r="G1027" s="20"/>
      <c r="H1027" s="20"/>
      <c r="I1027" s="20"/>
      <c r="J1027" s="20"/>
      <c r="K1027" s="20"/>
      <c r="L1027" s="20"/>
      <c r="M1027" s="20"/>
      <c r="N1027" s="20"/>
      <c r="O1027" s="20"/>
      <c r="P1027" s="20"/>
      <c r="Q1027" s="20"/>
      <c r="R1027" s="20"/>
      <c r="S1027" s="20"/>
      <c r="T1027" s="20"/>
      <c r="U1027" s="20"/>
      <c r="V1027" s="20"/>
      <c r="W1027" s="20"/>
      <c r="X1027" s="20"/>
      <c r="Y1027" s="20"/>
      <c r="Z1027" s="20"/>
    </row>
  </sheetData>
  <conditionalFormatting sqref="A104">
    <cfRule type="colorScale" priority="1">
      <colorScale>
        <cfvo type="min"/>
        <cfvo type="max"/>
        <color rgb="FF00FFFF"/>
        <color rgb="FFFFD666"/>
      </colorScale>
    </cfRule>
  </conditionalFormatting>
  <conditionalFormatting sqref="A111">
    <cfRule type="notContainsBlanks" dxfId="6" priority="2">
      <formula>LEN(TRIM(A111))&gt;0</formula>
    </cfRule>
  </conditionalFormatting>
  <conditionalFormatting sqref="A15:B104 G15:AA104 C24:C104 D45:F104">
    <cfRule type="notContainsBlanks" dxfId="5" priority="3">
      <formula>LEN(TRIM(A15))&gt;0</formula>
    </cfRule>
  </conditionalFormatting>
  <conditionalFormatting sqref="I22">
    <cfRule type="notContainsBlanks" dxfId="6" priority="4">
      <formula>LEN(TRIM(I22))&gt;0</formula>
    </cfRule>
  </conditionalFormatting>
  <conditionalFormatting sqref="A15:A104">
    <cfRule type="notContainsBlanks" dxfId="5" priority="5">
      <formula>LEN(TRIM(A15))&gt;0</formula>
    </cfRule>
  </conditionalFormatting>
  <printOptions/>
  <pageMargins bottom="0.75" footer="0.0" header="0.0" left="0.7" right="0.7" top="0.75"/>
  <pageSetup paperSize="9" orientation="portrait"/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24.29"/>
    <col customWidth="1" min="3" max="4" width="15.57"/>
    <col customWidth="1" min="5" max="17" width="10.71"/>
  </cols>
  <sheetData>
    <row r="1" ht="36.75" customHeight="1">
      <c r="A1" s="49" t="s">
        <v>225</v>
      </c>
      <c r="B1" s="49" t="s">
        <v>226</v>
      </c>
      <c r="C1" s="49" t="s">
        <v>227</v>
      </c>
      <c r="D1" s="49" t="s">
        <v>228</v>
      </c>
      <c r="E1" s="23" t="s">
        <v>229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ht="36.75" customHeight="1">
      <c r="A2" s="49"/>
      <c r="B2" s="50" t="s">
        <v>230</v>
      </c>
      <c r="C2" s="49"/>
      <c r="D2" s="51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ht="36.75" customHeight="1">
      <c r="A3" s="49" t="s">
        <v>231</v>
      </c>
      <c r="B3" s="49" t="s">
        <v>232</v>
      </c>
      <c r="C3" s="49" t="s">
        <v>233</v>
      </c>
      <c r="D3" s="51">
        <v>2.0</v>
      </c>
      <c r="E3" s="20">
        <f>'precios damian'!G94</f>
        <v>46475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ht="15.75" customHeight="1">
      <c r="A4" s="49" t="s">
        <v>234</v>
      </c>
      <c r="B4" s="49"/>
      <c r="C4" s="49" t="s">
        <v>92</v>
      </c>
      <c r="D4" s="51">
        <v>1.0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</row>
    <row r="5" ht="15.75" customHeight="1">
      <c r="A5" s="49" t="s">
        <v>170</v>
      </c>
      <c r="B5" s="49"/>
      <c r="C5" s="49"/>
      <c r="D5" s="51">
        <v>1.0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ht="15.75" customHeight="1">
      <c r="A6" s="49" t="s">
        <v>85</v>
      </c>
      <c r="B6" s="49" t="s">
        <v>235</v>
      </c>
      <c r="C6" s="49"/>
      <c r="D6" s="51">
        <v>1.0</v>
      </c>
      <c r="E6" s="20">
        <f>'precios damian'!G47</f>
        <v>218790</v>
      </c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</row>
    <row r="7" ht="23.25" customHeight="1">
      <c r="A7" s="49" t="s">
        <v>12</v>
      </c>
      <c r="B7" s="49" t="s">
        <v>236</v>
      </c>
      <c r="C7" s="49" t="s">
        <v>233</v>
      </c>
      <c r="D7" s="51">
        <v>1.0</v>
      </c>
      <c r="E7" s="20">
        <f>'precios damian'!G61</f>
        <v>51308.4</v>
      </c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>
      <c r="A8" s="49" t="s">
        <v>12</v>
      </c>
      <c r="B8" s="49" t="s">
        <v>237</v>
      </c>
      <c r="C8" s="49" t="s">
        <v>238</v>
      </c>
      <c r="D8" s="51">
        <v>1.0</v>
      </c>
      <c r="E8" s="20">
        <f>'precios damian'!G59</f>
        <v>71929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>
      <c r="A9" s="49" t="s">
        <v>12</v>
      </c>
      <c r="B9" s="49" t="s">
        <v>239</v>
      </c>
      <c r="C9" s="49" t="s">
        <v>92</v>
      </c>
      <c r="D9" s="51">
        <v>1.0</v>
      </c>
      <c r="E9" s="20">
        <f>'precios damian'!G63</f>
        <v>57721.95</v>
      </c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</row>
    <row r="10">
      <c r="A10" s="52" t="s">
        <v>12</v>
      </c>
      <c r="B10" s="52" t="s">
        <v>240</v>
      </c>
      <c r="C10" s="52" t="s">
        <v>233</v>
      </c>
      <c r="D10" s="53">
        <v>2.0</v>
      </c>
      <c r="E10" s="8">
        <f>'precios damian'!G72</f>
        <v>84942</v>
      </c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</row>
    <row r="11">
      <c r="A11" s="52" t="s">
        <v>12</v>
      </c>
      <c r="B11" s="52" t="s">
        <v>240</v>
      </c>
      <c r="C11" s="52" t="s">
        <v>92</v>
      </c>
      <c r="D11" s="53">
        <v>1.0</v>
      </c>
      <c r="E11" s="8">
        <f>'precios damian'!G73</f>
        <v>84942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</row>
    <row r="12" ht="15.75" customHeight="1">
      <c r="A12" s="54" t="s">
        <v>21</v>
      </c>
      <c r="B12" s="54" t="s">
        <v>241</v>
      </c>
      <c r="C12" s="54" t="s">
        <v>238</v>
      </c>
      <c r="D12" s="55">
        <v>0.0</v>
      </c>
      <c r="E12" s="56">
        <f>'precios damian'!G25</f>
        <v>2004359.5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</row>
    <row r="13">
      <c r="A13" s="52" t="s">
        <v>242</v>
      </c>
      <c r="B13" s="52" t="s">
        <v>243</v>
      </c>
      <c r="C13" s="52" t="s">
        <v>92</v>
      </c>
      <c r="D13" s="53">
        <v>0.0</v>
      </c>
      <c r="E13" s="8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</row>
    <row r="14">
      <c r="A14" s="52" t="s">
        <v>242</v>
      </c>
      <c r="B14" s="52" t="s">
        <v>232</v>
      </c>
      <c r="C14" s="52" t="s">
        <v>233</v>
      </c>
      <c r="D14" s="53">
        <v>0.0</v>
      </c>
      <c r="E14" s="8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</row>
    <row r="15">
      <c r="A15" s="52" t="s">
        <v>242</v>
      </c>
      <c r="B15" s="52" t="s">
        <v>244</v>
      </c>
      <c r="C15" s="52" t="s">
        <v>233</v>
      </c>
      <c r="D15" s="53">
        <v>0.0</v>
      </c>
      <c r="E15" s="8">
        <f>'precios mark'!F41</f>
        <v>155004.3</v>
      </c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</row>
    <row r="16">
      <c r="A16" s="52" t="s">
        <v>245</v>
      </c>
      <c r="B16" s="52" t="s">
        <v>232</v>
      </c>
      <c r="C16" s="52" t="s">
        <v>233</v>
      </c>
      <c r="D16" s="53">
        <v>0.0</v>
      </c>
      <c r="E16" s="8">
        <f>'precios damian'!G107</f>
        <v>65608.4</v>
      </c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</row>
    <row r="17">
      <c r="A17" s="52" t="s">
        <v>21</v>
      </c>
      <c r="B17" s="52" t="s">
        <v>246</v>
      </c>
      <c r="C17" s="52" t="s">
        <v>233</v>
      </c>
      <c r="D17" s="53">
        <v>4.0</v>
      </c>
      <c r="E17" s="8">
        <f>'precios damian'!G33</f>
        <v>60775</v>
      </c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</row>
    <row r="18" ht="15.75" customHeight="1">
      <c r="A18" s="49" t="s">
        <v>21</v>
      </c>
      <c r="B18" s="49" t="s">
        <v>241</v>
      </c>
      <c r="C18" s="49" t="s">
        <v>238</v>
      </c>
      <c r="D18" s="51">
        <v>1.0</v>
      </c>
      <c r="E18" s="20">
        <f>'precios damian'!G36</f>
        <v>73788</v>
      </c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</row>
    <row r="19">
      <c r="A19" s="49"/>
      <c r="B19" s="50"/>
      <c r="C19" s="49"/>
      <c r="D19" s="51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</row>
    <row r="20">
      <c r="A20" s="49"/>
      <c r="B20" s="50" t="s">
        <v>247</v>
      </c>
      <c r="C20" s="49"/>
      <c r="D20" s="51">
        <v>0.0</v>
      </c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</row>
    <row r="21">
      <c r="A21" s="49" t="s">
        <v>242</v>
      </c>
      <c r="B21" s="49" t="s">
        <v>248</v>
      </c>
      <c r="C21" s="49" t="s">
        <v>233</v>
      </c>
      <c r="D21" s="51">
        <v>0.0</v>
      </c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</row>
    <row r="22">
      <c r="A22" s="49" t="s">
        <v>249</v>
      </c>
      <c r="B22" s="49"/>
      <c r="C22" s="49" t="s">
        <v>233</v>
      </c>
      <c r="D22" s="51">
        <v>0.0</v>
      </c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</row>
    <row r="23">
      <c r="A23" s="49" t="s">
        <v>242</v>
      </c>
      <c r="B23" s="49" t="s">
        <v>248</v>
      </c>
      <c r="C23" s="49" t="s">
        <v>233</v>
      </c>
      <c r="D23" s="51">
        <v>0.0</v>
      </c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</row>
    <row r="24">
      <c r="A24" s="49" t="s">
        <v>21</v>
      </c>
      <c r="B24" s="49" t="s">
        <v>250</v>
      </c>
      <c r="C24" s="49" t="s">
        <v>92</v>
      </c>
      <c r="D24" s="51">
        <v>1.0</v>
      </c>
      <c r="E24" s="20">
        <f>'precios damian'!G40</f>
        <v>73788</v>
      </c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</row>
    <row r="25">
      <c r="A25" s="49" t="s">
        <v>21</v>
      </c>
      <c r="B25" s="49" t="s">
        <v>250</v>
      </c>
      <c r="C25" s="49" t="s">
        <v>238</v>
      </c>
      <c r="D25" s="51">
        <v>0.0</v>
      </c>
      <c r="E25" s="20">
        <f>'precios damian'!G41</f>
        <v>73788</v>
      </c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</row>
    <row r="26">
      <c r="A26" s="3" t="s">
        <v>251</v>
      </c>
      <c r="B26" s="3" t="s">
        <v>250</v>
      </c>
      <c r="C26" s="3" t="s">
        <v>233</v>
      </c>
      <c r="D26" s="3">
        <v>1.0</v>
      </c>
      <c r="E26" s="2">
        <f>E25</f>
        <v>73788</v>
      </c>
    </row>
    <row r="27">
      <c r="A27" s="57" t="s">
        <v>12</v>
      </c>
      <c r="B27" s="57" t="s">
        <v>252</v>
      </c>
      <c r="C27" s="57" t="s">
        <v>238</v>
      </c>
      <c r="D27" s="58">
        <v>1.0</v>
      </c>
      <c r="E27" s="59">
        <f>'precios damian'!G76</f>
        <v>73788</v>
      </c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</row>
    <row r="28" ht="15.75" customHeight="1">
      <c r="A28" s="49" t="s">
        <v>12</v>
      </c>
      <c r="B28" s="49" t="s">
        <v>253</v>
      </c>
      <c r="C28" s="49" t="s">
        <v>233</v>
      </c>
      <c r="D28" s="51">
        <v>2.0</v>
      </c>
      <c r="E28" s="20">
        <f>'precios damian'!G56</f>
        <v>66352</v>
      </c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</row>
    <row r="29" ht="15.75" customHeight="1">
      <c r="A29" s="49" t="s">
        <v>18</v>
      </c>
      <c r="B29" s="49" t="s">
        <v>254</v>
      </c>
      <c r="C29" s="49" t="s">
        <v>255</v>
      </c>
      <c r="D29" s="51">
        <v>1.0</v>
      </c>
      <c r="E29" s="20">
        <f>'precios damian'!G77</f>
        <v>192764</v>
      </c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</row>
    <row r="30" ht="15.75" customHeight="1">
      <c r="A30" s="49" t="s">
        <v>85</v>
      </c>
      <c r="B30" s="49" t="s">
        <v>256</v>
      </c>
      <c r="D30" s="51">
        <v>1.0</v>
      </c>
      <c r="E30" s="20">
        <f>'precios damian'!G48</f>
        <v>224367</v>
      </c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</row>
    <row r="31" ht="23.25" customHeight="1">
      <c r="A31" s="49"/>
      <c r="B31" s="49"/>
      <c r="C31" s="49"/>
      <c r="D31" s="51">
        <v>0.0</v>
      </c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</row>
    <row r="32" ht="15.7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</row>
    <row r="33" ht="15.7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</row>
    <row r="34" ht="15.7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</row>
    <row r="35" ht="15.7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</row>
    <row r="36" ht="15.7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</row>
    <row r="37" ht="15.7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</row>
    <row r="38" ht="15.7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</row>
    <row r="39" ht="15.7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</row>
    <row r="40" ht="15.7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</row>
    <row r="41" ht="15.7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</row>
    <row r="42" ht="15.7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</row>
    <row r="43" ht="15.7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</row>
    <row r="44" ht="15.7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</row>
    <row r="45" ht="15.7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</row>
    <row r="46" ht="15.7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</row>
    <row r="47" ht="15.7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</row>
    <row r="48" ht="15.7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</row>
    <row r="49" ht="15.7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</row>
    <row r="50" ht="15.7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</row>
    <row r="221" ht="15.75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</row>
    <row r="222" ht="15.75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</row>
    <row r="223" ht="15.75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</row>
    <row r="224" ht="15.75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</row>
    <row r="225" ht="15.75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</row>
    <row r="226" ht="15.75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</row>
    <row r="227" ht="15.75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</row>
    <row r="228" ht="15.75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</row>
    <row r="229" ht="15.75" customHeight="1">
      <c r="A229" s="20"/>
      <c r="B229" s="20"/>
      <c r="C229" s="20"/>
      <c r="D229" s="20"/>
      <c r="E229" s="20"/>
      <c r="F229" s="20"/>
      <c r="G229" s="20"/>
      <c r="H229" s="20"/>
      <c r="I229" s="20"/>
      <c r="J229" s="20"/>
      <c r="K229" s="20"/>
      <c r="L229" s="20"/>
      <c r="M229" s="20"/>
      <c r="N229" s="20"/>
      <c r="O229" s="20"/>
      <c r="P229" s="20"/>
    </row>
    <row r="230" ht="15.75" customHeight="1">
      <c r="A230" s="20"/>
      <c r="B230" s="20"/>
      <c r="C230" s="20"/>
      <c r="D230" s="20"/>
      <c r="E230" s="20"/>
      <c r="F230" s="20"/>
      <c r="G230" s="20"/>
      <c r="H230" s="20"/>
      <c r="I230" s="20"/>
      <c r="J230" s="20"/>
      <c r="K230" s="20"/>
      <c r="L230" s="20"/>
      <c r="M230" s="20"/>
      <c r="N230" s="20"/>
      <c r="O230" s="20"/>
      <c r="P230" s="20"/>
    </row>
    <row r="231" ht="15.75" customHeight="1">
      <c r="A231" s="20"/>
      <c r="B231" s="20"/>
      <c r="C231" s="20"/>
      <c r="D231" s="20"/>
      <c r="E231" s="20"/>
      <c r="F231" s="20"/>
      <c r="G231" s="20"/>
      <c r="H231" s="20"/>
      <c r="I231" s="20"/>
      <c r="J231" s="20"/>
      <c r="K231" s="20"/>
      <c r="L231" s="20"/>
      <c r="M231" s="20"/>
      <c r="N231" s="20"/>
      <c r="O231" s="20"/>
      <c r="P231" s="20"/>
    </row>
    <row r="232" ht="15.75" customHeight="1">
      <c r="A232" s="20"/>
      <c r="B232" s="20"/>
      <c r="C232" s="20"/>
      <c r="D232" s="20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</row>
    <row r="233" ht="15.75" customHeight="1">
      <c r="A233" s="20"/>
      <c r="B233" s="20"/>
      <c r="C233" s="20"/>
      <c r="D233" s="20"/>
      <c r="E233" s="20"/>
      <c r="F233" s="20"/>
      <c r="G233" s="20"/>
      <c r="H233" s="20"/>
      <c r="I233" s="20"/>
      <c r="J233" s="20"/>
      <c r="K233" s="20"/>
      <c r="L233" s="20"/>
      <c r="M233" s="20"/>
      <c r="N233" s="20"/>
      <c r="O233" s="20"/>
      <c r="P233" s="20"/>
    </row>
    <row r="234" ht="15.75" customHeight="1">
      <c r="A234" s="20"/>
      <c r="B234" s="20"/>
      <c r="C234" s="20"/>
      <c r="D234" s="20"/>
      <c r="E234" s="20"/>
      <c r="F234" s="20"/>
      <c r="G234" s="20"/>
      <c r="H234" s="20"/>
      <c r="I234" s="20"/>
      <c r="J234" s="20"/>
      <c r="K234" s="20"/>
      <c r="L234" s="20"/>
      <c r="M234" s="20"/>
      <c r="N234" s="20"/>
      <c r="O234" s="20"/>
      <c r="P234" s="20"/>
    </row>
    <row r="235" ht="15.75" customHeight="1">
      <c r="A235" s="20"/>
      <c r="B235" s="20"/>
      <c r="C235" s="20"/>
      <c r="D235" s="20"/>
      <c r="E235" s="20"/>
      <c r="F235" s="20"/>
      <c r="G235" s="20"/>
      <c r="H235" s="20"/>
      <c r="I235" s="20"/>
      <c r="J235" s="20"/>
      <c r="K235" s="20"/>
      <c r="L235" s="20"/>
      <c r="M235" s="20"/>
      <c r="N235" s="20"/>
      <c r="O235" s="20"/>
      <c r="P235" s="20"/>
    </row>
    <row r="236" ht="15.75" customHeight="1">
      <c r="A236" s="20"/>
      <c r="B236" s="20"/>
      <c r="C236" s="20"/>
      <c r="D236" s="20"/>
      <c r="E236" s="20"/>
      <c r="F236" s="20"/>
      <c r="G236" s="20"/>
      <c r="H236" s="20"/>
      <c r="I236" s="20"/>
      <c r="J236" s="20"/>
      <c r="K236" s="20"/>
      <c r="L236" s="20"/>
      <c r="M236" s="20"/>
      <c r="N236" s="20"/>
      <c r="O236" s="20"/>
      <c r="P236" s="20"/>
    </row>
    <row r="237" ht="15.75" customHeight="1">
      <c r="A237" s="20"/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  <c r="M237" s="20"/>
      <c r="N237" s="20"/>
      <c r="O237" s="20"/>
      <c r="P237" s="20"/>
    </row>
    <row r="238" ht="15.75" customHeight="1">
      <c r="A238" s="20"/>
      <c r="B238" s="20"/>
      <c r="C238" s="20"/>
      <c r="D238" s="20"/>
      <c r="E238" s="20"/>
      <c r="F238" s="20"/>
      <c r="G238" s="20"/>
      <c r="H238" s="20"/>
      <c r="I238" s="20"/>
      <c r="J238" s="20"/>
      <c r="K238" s="20"/>
      <c r="L238" s="20"/>
      <c r="M238" s="20"/>
      <c r="N238" s="20"/>
      <c r="O238" s="20"/>
      <c r="P238" s="20"/>
    </row>
    <row r="239" ht="15.75" customHeight="1">
      <c r="A239" s="20"/>
      <c r="B239" s="20"/>
      <c r="C239" s="20"/>
      <c r="D239" s="20"/>
      <c r="E239" s="20"/>
      <c r="F239" s="20"/>
      <c r="G239" s="20"/>
      <c r="H239" s="20"/>
      <c r="I239" s="20"/>
      <c r="J239" s="20"/>
      <c r="K239" s="20"/>
      <c r="L239" s="20"/>
      <c r="M239" s="20"/>
      <c r="N239" s="20"/>
      <c r="O239" s="20"/>
      <c r="P239" s="20"/>
    </row>
    <row r="240" ht="15.75" customHeight="1">
      <c r="A240" s="20"/>
      <c r="B240" s="20"/>
      <c r="C240" s="20"/>
      <c r="D240" s="20"/>
      <c r="E240" s="20"/>
      <c r="F240" s="20"/>
      <c r="G240" s="20"/>
      <c r="H240" s="20"/>
      <c r="I240" s="20"/>
      <c r="J240" s="20"/>
      <c r="K240" s="20"/>
      <c r="L240" s="20"/>
      <c r="M240" s="20"/>
      <c r="N240" s="20"/>
      <c r="O240" s="20"/>
      <c r="P240" s="20"/>
    </row>
    <row r="241" ht="15.75" customHeight="1">
      <c r="A241" s="20"/>
      <c r="B241" s="20"/>
      <c r="C241" s="20"/>
      <c r="D241" s="20"/>
      <c r="E241" s="20"/>
      <c r="F241" s="20"/>
      <c r="G241" s="20"/>
      <c r="H241" s="20"/>
      <c r="I241" s="20"/>
      <c r="J241" s="20"/>
      <c r="K241" s="20"/>
      <c r="L241" s="20"/>
      <c r="M241" s="20"/>
      <c r="N241" s="20"/>
      <c r="O241" s="20"/>
      <c r="P241" s="20"/>
    </row>
    <row r="242" ht="15.75" customHeight="1">
      <c r="A242" s="20"/>
      <c r="B242" s="20"/>
      <c r="C242" s="20"/>
      <c r="D242" s="20"/>
      <c r="E242" s="20"/>
      <c r="F242" s="20"/>
      <c r="G242" s="20"/>
      <c r="H242" s="20"/>
      <c r="I242" s="20"/>
      <c r="J242" s="20"/>
      <c r="K242" s="20"/>
      <c r="L242" s="20"/>
      <c r="M242" s="20"/>
      <c r="N242" s="20"/>
      <c r="O242" s="20"/>
      <c r="P242" s="20"/>
    </row>
    <row r="243" ht="15.75" customHeight="1">
      <c r="A243" s="20"/>
      <c r="B243" s="20"/>
      <c r="C243" s="20"/>
      <c r="D243" s="20"/>
      <c r="E243" s="20"/>
      <c r="F243" s="20"/>
      <c r="G243" s="20"/>
      <c r="H243" s="20"/>
      <c r="I243" s="20"/>
      <c r="J243" s="20"/>
      <c r="K243" s="20"/>
      <c r="L243" s="20"/>
      <c r="M243" s="20"/>
      <c r="N243" s="20"/>
      <c r="O243" s="20"/>
      <c r="P243" s="20"/>
    </row>
    <row r="244" ht="15.75" customHeight="1">
      <c r="A244" s="20"/>
      <c r="B244" s="20"/>
      <c r="C244" s="20"/>
      <c r="D244" s="20"/>
      <c r="E244" s="20"/>
      <c r="F244" s="20"/>
      <c r="G244" s="20"/>
      <c r="H244" s="20"/>
      <c r="I244" s="20"/>
      <c r="J244" s="20"/>
      <c r="K244" s="20"/>
      <c r="L244" s="20"/>
      <c r="M244" s="20"/>
      <c r="N244" s="20"/>
      <c r="O244" s="20"/>
      <c r="P244" s="20"/>
    </row>
    <row r="245" ht="15.75" customHeight="1">
      <c r="A245" s="20"/>
      <c r="B245" s="20"/>
      <c r="C245" s="20"/>
      <c r="D245" s="20"/>
      <c r="E245" s="20"/>
      <c r="F245" s="20"/>
      <c r="G245" s="20"/>
      <c r="H245" s="20"/>
      <c r="I245" s="20"/>
      <c r="J245" s="20"/>
      <c r="K245" s="20"/>
      <c r="L245" s="20"/>
      <c r="M245" s="20"/>
      <c r="N245" s="20"/>
      <c r="O245" s="20"/>
      <c r="P245" s="20"/>
    </row>
    <row r="246" ht="15.75" customHeight="1">
      <c r="A246" s="20"/>
      <c r="B246" s="20"/>
      <c r="C246" s="20"/>
      <c r="D246" s="20"/>
      <c r="E246" s="20"/>
      <c r="F246" s="20"/>
      <c r="G246" s="20"/>
      <c r="H246" s="20"/>
      <c r="I246" s="20"/>
      <c r="J246" s="20"/>
      <c r="K246" s="20"/>
      <c r="L246" s="20"/>
      <c r="M246" s="20"/>
      <c r="N246" s="20"/>
      <c r="O246" s="20"/>
      <c r="P246" s="20"/>
    </row>
    <row r="247" ht="15.75" customHeight="1">
      <c r="A247" s="20"/>
      <c r="B247" s="20"/>
      <c r="C247" s="20"/>
      <c r="D247" s="20"/>
      <c r="E247" s="20"/>
      <c r="F247" s="20"/>
      <c r="G247" s="20"/>
      <c r="H247" s="20"/>
      <c r="I247" s="20"/>
      <c r="J247" s="20"/>
      <c r="K247" s="20"/>
      <c r="L247" s="20"/>
      <c r="M247" s="20"/>
      <c r="N247" s="20"/>
      <c r="O247" s="20"/>
      <c r="P247" s="20"/>
    </row>
    <row r="248" ht="15.75" customHeight="1">
      <c r="A248" s="20"/>
      <c r="B248" s="20"/>
      <c r="C248" s="20"/>
      <c r="D248" s="20"/>
      <c r="E248" s="20"/>
      <c r="F248" s="20"/>
      <c r="G248" s="20"/>
      <c r="H248" s="20"/>
      <c r="I248" s="20"/>
      <c r="J248" s="20"/>
      <c r="K248" s="20"/>
      <c r="L248" s="20"/>
      <c r="M248" s="20"/>
      <c r="N248" s="20"/>
      <c r="O248" s="20"/>
      <c r="P248" s="20"/>
    </row>
    <row r="249" ht="15.75" customHeight="1">
      <c r="A249" s="20"/>
      <c r="B249" s="20"/>
      <c r="C249" s="20"/>
      <c r="D249" s="20"/>
      <c r="E249" s="20"/>
      <c r="F249" s="20"/>
      <c r="G249" s="20"/>
      <c r="H249" s="20"/>
      <c r="I249" s="20"/>
      <c r="J249" s="20"/>
      <c r="K249" s="20"/>
      <c r="L249" s="20"/>
      <c r="M249" s="20"/>
      <c r="N249" s="20"/>
      <c r="O249" s="20"/>
      <c r="P249" s="20"/>
    </row>
    <row r="250" ht="15.75" customHeight="1">
      <c r="A250" s="20"/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</row>
    <row r="251" ht="15.75" customHeight="1">
      <c r="A251" s="20"/>
      <c r="B251" s="20"/>
      <c r="C251" s="20"/>
      <c r="D251" s="20"/>
      <c r="E251" s="20"/>
      <c r="F251" s="20"/>
      <c r="G251" s="20"/>
      <c r="H251" s="20"/>
      <c r="I251" s="20"/>
      <c r="J251" s="20"/>
      <c r="K251" s="20"/>
      <c r="L251" s="20"/>
      <c r="M251" s="20"/>
      <c r="N251" s="20"/>
      <c r="O251" s="20"/>
      <c r="P251" s="20"/>
    </row>
    <row r="252" ht="15.75" customHeight="1">
      <c r="A252" s="20"/>
      <c r="B252" s="20"/>
      <c r="C252" s="20"/>
      <c r="D252" s="20"/>
      <c r="E252" s="20"/>
      <c r="F252" s="20"/>
      <c r="G252" s="20"/>
      <c r="H252" s="20"/>
      <c r="I252" s="20"/>
      <c r="J252" s="20"/>
      <c r="K252" s="20"/>
      <c r="L252" s="20"/>
      <c r="M252" s="20"/>
      <c r="N252" s="20"/>
      <c r="O252" s="20"/>
      <c r="P252" s="20"/>
    </row>
    <row r="253" ht="15.75" customHeight="1">
      <c r="A253" s="20"/>
      <c r="B253" s="20"/>
      <c r="C253" s="20"/>
      <c r="D253" s="20"/>
      <c r="E253" s="20"/>
      <c r="F253" s="20"/>
      <c r="G253" s="20"/>
      <c r="H253" s="20"/>
      <c r="I253" s="20"/>
      <c r="J253" s="20"/>
      <c r="K253" s="20"/>
      <c r="L253" s="20"/>
      <c r="M253" s="20"/>
      <c r="N253" s="20"/>
      <c r="O253" s="20"/>
      <c r="P253" s="20"/>
    </row>
    <row r="254" ht="15.75" customHeight="1">
      <c r="A254" s="20"/>
      <c r="B254" s="20"/>
      <c r="C254" s="20"/>
      <c r="D254" s="20"/>
      <c r="E254" s="20"/>
      <c r="F254" s="20"/>
      <c r="G254" s="20"/>
      <c r="H254" s="20"/>
      <c r="I254" s="20"/>
      <c r="J254" s="20"/>
      <c r="K254" s="20"/>
      <c r="L254" s="20"/>
      <c r="M254" s="20"/>
      <c r="N254" s="20"/>
      <c r="O254" s="20"/>
      <c r="P254" s="20"/>
    </row>
    <row r="255" ht="15.75" customHeight="1">
      <c r="A255" s="20"/>
      <c r="B255" s="20"/>
      <c r="C255" s="20"/>
      <c r="D255" s="20"/>
      <c r="E255" s="20"/>
      <c r="F255" s="20"/>
      <c r="G255" s="20"/>
      <c r="H255" s="20"/>
      <c r="I255" s="20"/>
      <c r="J255" s="20"/>
      <c r="K255" s="20"/>
      <c r="L255" s="20"/>
      <c r="M255" s="20"/>
      <c r="N255" s="20"/>
      <c r="O255" s="20"/>
      <c r="P255" s="20"/>
    </row>
    <row r="256" ht="15.75" customHeight="1">
      <c r="A256" s="20"/>
      <c r="B256" s="20"/>
      <c r="C256" s="20"/>
      <c r="D256" s="20"/>
      <c r="E256" s="20"/>
      <c r="F256" s="20"/>
      <c r="G256" s="20"/>
      <c r="H256" s="20"/>
      <c r="I256" s="20"/>
      <c r="J256" s="20"/>
      <c r="K256" s="20"/>
      <c r="L256" s="20"/>
      <c r="M256" s="20"/>
      <c r="N256" s="20"/>
      <c r="O256" s="20"/>
      <c r="P256" s="20"/>
    </row>
    <row r="257" ht="15.75" customHeight="1">
      <c r="A257" s="20"/>
      <c r="B257" s="20"/>
      <c r="C257" s="20"/>
      <c r="D257" s="20"/>
      <c r="E257" s="20"/>
      <c r="F257" s="20"/>
      <c r="G257" s="20"/>
      <c r="H257" s="20"/>
      <c r="I257" s="20"/>
      <c r="J257" s="20"/>
      <c r="K257" s="20"/>
      <c r="L257" s="20"/>
      <c r="M257" s="20"/>
      <c r="N257" s="20"/>
      <c r="O257" s="20"/>
      <c r="P257" s="20"/>
    </row>
    <row r="258" ht="15.75" customHeight="1">
      <c r="A258" s="20"/>
      <c r="B258" s="20"/>
      <c r="C258" s="20"/>
      <c r="D258" s="20"/>
      <c r="E258" s="20"/>
      <c r="F258" s="20"/>
      <c r="G258" s="20"/>
      <c r="H258" s="20"/>
      <c r="I258" s="20"/>
      <c r="J258" s="20"/>
      <c r="K258" s="20"/>
      <c r="L258" s="20"/>
      <c r="M258" s="20"/>
      <c r="N258" s="20"/>
      <c r="O258" s="20"/>
      <c r="P258" s="20"/>
    </row>
    <row r="259" ht="15.75" customHeight="1">
      <c r="A259" s="20"/>
      <c r="B259" s="20"/>
      <c r="C259" s="20"/>
      <c r="D259" s="20"/>
      <c r="E259" s="20"/>
      <c r="F259" s="20"/>
      <c r="G259" s="20"/>
      <c r="H259" s="20"/>
      <c r="I259" s="20"/>
      <c r="J259" s="20"/>
      <c r="K259" s="20"/>
      <c r="L259" s="20"/>
      <c r="M259" s="20"/>
      <c r="N259" s="20"/>
      <c r="O259" s="20"/>
      <c r="P259" s="20"/>
    </row>
    <row r="260" ht="15.75" customHeight="1">
      <c r="A260" s="20"/>
      <c r="B260" s="20"/>
      <c r="C260" s="20"/>
      <c r="D260" s="20"/>
      <c r="E260" s="20"/>
      <c r="F260" s="20"/>
      <c r="G260" s="20"/>
      <c r="H260" s="20"/>
      <c r="I260" s="20"/>
      <c r="J260" s="20"/>
      <c r="K260" s="20"/>
      <c r="L260" s="20"/>
      <c r="M260" s="20"/>
      <c r="N260" s="20"/>
      <c r="O260" s="20"/>
      <c r="P260" s="20"/>
    </row>
    <row r="261" ht="15.75" customHeight="1">
      <c r="A261" s="20"/>
      <c r="B261" s="20"/>
      <c r="C261" s="20"/>
      <c r="D261" s="20"/>
      <c r="E261" s="20"/>
      <c r="F261" s="20"/>
      <c r="G261" s="20"/>
      <c r="H261" s="20"/>
      <c r="I261" s="20"/>
      <c r="J261" s="20"/>
      <c r="K261" s="20"/>
      <c r="L261" s="20"/>
      <c r="M261" s="20"/>
      <c r="N261" s="20"/>
      <c r="O261" s="20"/>
      <c r="P261" s="20"/>
    </row>
    <row r="262" ht="15.75" customHeight="1">
      <c r="A262" s="20"/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  <c r="M262" s="20"/>
      <c r="N262" s="20"/>
      <c r="O262" s="20"/>
      <c r="P262" s="20"/>
    </row>
    <row r="263" ht="15.75" customHeight="1">
      <c r="A263" s="20"/>
      <c r="B263" s="20"/>
      <c r="C263" s="20"/>
      <c r="D263" s="20"/>
      <c r="E263" s="20"/>
      <c r="F263" s="20"/>
      <c r="G263" s="20"/>
      <c r="H263" s="20"/>
      <c r="I263" s="20"/>
      <c r="J263" s="20"/>
      <c r="K263" s="20"/>
      <c r="L263" s="20"/>
      <c r="M263" s="20"/>
      <c r="N263" s="20"/>
      <c r="O263" s="20"/>
      <c r="P263" s="20"/>
    </row>
    <row r="264" ht="15.75" customHeight="1">
      <c r="A264" s="20"/>
      <c r="B264" s="20"/>
      <c r="C264" s="20"/>
      <c r="D264" s="20"/>
      <c r="E264" s="20"/>
      <c r="F264" s="20"/>
      <c r="G264" s="20"/>
      <c r="H264" s="20"/>
      <c r="I264" s="20"/>
      <c r="J264" s="20"/>
      <c r="K264" s="20"/>
      <c r="L264" s="20"/>
      <c r="M264" s="20"/>
      <c r="N264" s="20"/>
      <c r="O264" s="20"/>
      <c r="P264" s="20"/>
    </row>
    <row r="265" ht="15.75" customHeight="1">
      <c r="A265" s="20"/>
      <c r="B265" s="20"/>
      <c r="C265" s="20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0"/>
      <c r="P265" s="20"/>
    </row>
    <row r="266" ht="15.75" customHeight="1">
      <c r="A266" s="20"/>
      <c r="B266" s="20"/>
      <c r="C266" s="20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0"/>
      <c r="P266" s="20"/>
    </row>
    <row r="267" ht="15.75" customHeight="1">
      <c r="A267" s="20"/>
      <c r="B267" s="20"/>
      <c r="C267" s="20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0"/>
      <c r="P267" s="20"/>
    </row>
    <row r="268" ht="15.75" customHeight="1">
      <c r="A268" s="20"/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</row>
    <row r="269" ht="15.75" customHeight="1">
      <c r="A269" s="20"/>
      <c r="B269" s="20"/>
      <c r="C269" s="20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0"/>
      <c r="P269" s="20"/>
    </row>
    <row r="270" ht="15.75" customHeight="1">
      <c r="A270" s="20"/>
      <c r="B270" s="20"/>
      <c r="C270" s="20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0"/>
      <c r="P270" s="20"/>
    </row>
    <row r="271" ht="15.75" customHeight="1">
      <c r="A271" s="20"/>
      <c r="B271" s="20"/>
      <c r="C271" s="20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0"/>
      <c r="P271" s="20"/>
    </row>
    <row r="272" ht="15.75" customHeight="1">
      <c r="A272" s="20"/>
      <c r="B272" s="20"/>
      <c r="C272" s="20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0"/>
      <c r="P272" s="20"/>
    </row>
    <row r="273" ht="15.75" customHeight="1">
      <c r="A273" s="20"/>
      <c r="B273" s="20"/>
      <c r="C273" s="20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0"/>
      <c r="P273" s="20"/>
    </row>
    <row r="274" ht="15.75" customHeight="1">
      <c r="A274" s="20"/>
      <c r="B274" s="20"/>
      <c r="C274" s="20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0"/>
      <c r="P274" s="20"/>
    </row>
    <row r="275" ht="15.75" customHeight="1">
      <c r="A275" s="20"/>
      <c r="B275" s="20"/>
      <c r="C275" s="20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0"/>
      <c r="P275" s="20"/>
    </row>
    <row r="276" ht="15.75" customHeight="1">
      <c r="A276" s="20"/>
      <c r="B276" s="20"/>
      <c r="C276" s="20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0"/>
      <c r="P276" s="20"/>
    </row>
    <row r="277" ht="15.75" customHeight="1">
      <c r="A277" s="20"/>
      <c r="B277" s="20"/>
      <c r="C277" s="20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0"/>
      <c r="P277" s="20"/>
    </row>
    <row r="278" ht="15.75" customHeight="1">
      <c r="A278" s="20"/>
      <c r="B278" s="20"/>
      <c r="C278" s="20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0"/>
      <c r="P278" s="20"/>
    </row>
    <row r="279" ht="15.75" customHeight="1">
      <c r="A279" s="20"/>
      <c r="B279" s="20"/>
      <c r="C279" s="20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0"/>
      <c r="P279" s="20"/>
    </row>
    <row r="280" ht="15.75" customHeight="1">
      <c r="A280" s="20"/>
      <c r="B280" s="20"/>
      <c r="C280" s="20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0"/>
      <c r="P280" s="20"/>
    </row>
    <row r="281" ht="15.75" customHeight="1">
      <c r="A281" s="20"/>
      <c r="B281" s="20"/>
      <c r="C281" s="20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0"/>
      <c r="P281" s="20"/>
    </row>
    <row r="282" ht="15.75" customHeight="1">
      <c r="A282" s="20"/>
      <c r="B282" s="20"/>
      <c r="C282" s="20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0"/>
      <c r="P282" s="20"/>
    </row>
    <row r="283" ht="15.75" customHeight="1">
      <c r="A283" s="20"/>
      <c r="B283" s="20"/>
      <c r="C283" s="20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0"/>
      <c r="P283" s="20"/>
    </row>
    <row r="284" ht="15.75" customHeight="1">
      <c r="A284" s="20"/>
      <c r="B284" s="20"/>
      <c r="C284" s="20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0"/>
      <c r="P284" s="20"/>
    </row>
    <row r="285" ht="15.75" customHeight="1">
      <c r="A285" s="20"/>
      <c r="B285" s="20"/>
      <c r="C285" s="20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0"/>
      <c r="P285" s="20"/>
    </row>
    <row r="286" ht="15.75" customHeight="1">
      <c r="A286" s="20"/>
      <c r="B286" s="20"/>
      <c r="C286" s="20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0"/>
      <c r="P286" s="20"/>
    </row>
    <row r="287" ht="15.75" customHeight="1">
      <c r="A287" s="20"/>
      <c r="B287" s="20"/>
      <c r="C287" s="20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0"/>
      <c r="P287" s="20"/>
    </row>
    <row r="288" ht="15.75" customHeight="1">
      <c r="A288" s="20"/>
      <c r="B288" s="20"/>
      <c r="C288" s="20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0"/>
      <c r="P288" s="20"/>
    </row>
    <row r="289" ht="15.75" customHeight="1">
      <c r="A289" s="20"/>
      <c r="B289" s="20"/>
      <c r="C289" s="20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0"/>
      <c r="P289" s="20"/>
    </row>
    <row r="290" ht="15.75" customHeight="1">
      <c r="A290" s="20"/>
      <c r="B290" s="20"/>
      <c r="C290" s="20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0"/>
      <c r="P290" s="20"/>
    </row>
    <row r="291" ht="15.75" customHeight="1">
      <c r="A291" s="20"/>
      <c r="B291" s="20"/>
      <c r="C291" s="20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0"/>
      <c r="P291" s="20"/>
    </row>
    <row r="292" ht="15.75" customHeight="1">
      <c r="A292" s="20"/>
      <c r="B292" s="20"/>
      <c r="C292" s="20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0"/>
      <c r="P292" s="20"/>
    </row>
    <row r="293" ht="15.75" customHeight="1">
      <c r="A293" s="20"/>
      <c r="B293" s="20"/>
      <c r="C293" s="20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0"/>
      <c r="P293" s="20"/>
    </row>
    <row r="294" ht="15.75" customHeight="1">
      <c r="A294" s="20"/>
      <c r="B294" s="20"/>
      <c r="C294" s="20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0"/>
      <c r="P294" s="20"/>
    </row>
    <row r="295" ht="15.75" customHeight="1">
      <c r="A295" s="20"/>
      <c r="B295" s="20"/>
      <c r="C295" s="20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0"/>
      <c r="P295" s="20"/>
    </row>
    <row r="296" ht="15.75" customHeight="1">
      <c r="A296" s="20"/>
      <c r="B296" s="20"/>
      <c r="C296" s="20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0"/>
      <c r="P296" s="20"/>
    </row>
    <row r="297" ht="15.75" customHeight="1">
      <c r="A297" s="20"/>
      <c r="B297" s="20"/>
      <c r="C297" s="20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0"/>
      <c r="P297" s="20"/>
    </row>
    <row r="298" ht="15.75" customHeight="1">
      <c r="A298" s="20"/>
      <c r="B298" s="20"/>
      <c r="C298" s="20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0"/>
      <c r="P298" s="20"/>
    </row>
    <row r="299" ht="15.75" customHeight="1">
      <c r="A299" s="20"/>
      <c r="B299" s="20"/>
      <c r="C299" s="20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0"/>
      <c r="P299" s="20"/>
    </row>
    <row r="300" ht="15.75" customHeight="1">
      <c r="A300" s="20"/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</row>
    <row r="301" ht="15.75" customHeight="1">
      <c r="A301" s="20"/>
      <c r="B301" s="20"/>
      <c r="C301" s="20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0"/>
      <c r="P301" s="20"/>
    </row>
    <row r="302" ht="15.75" customHeight="1">
      <c r="A302" s="20"/>
      <c r="B302" s="20"/>
      <c r="C302" s="20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0"/>
      <c r="P302" s="20"/>
    </row>
    <row r="303" ht="15.75" customHeight="1">
      <c r="A303" s="20"/>
      <c r="B303" s="20"/>
      <c r="C303" s="20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0"/>
      <c r="P303" s="20"/>
    </row>
    <row r="304" ht="15.75" customHeight="1">
      <c r="A304" s="20"/>
      <c r="B304" s="20"/>
      <c r="C304" s="20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0"/>
      <c r="P304" s="20"/>
    </row>
    <row r="305" ht="15.75" customHeight="1">
      <c r="A305" s="20"/>
      <c r="B305" s="20"/>
      <c r="C305" s="20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0"/>
      <c r="P305" s="20"/>
    </row>
    <row r="306" ht="15.75" customHeight="1">
      <c r="A306" s="20"/>
      <c r="B306" s="20"/>
      <c r="C306" s="20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0"/>
      <c r="P306" s="20"/>
    </row>
    <row r="307" ht="15.75" customHeight="1">
      <c r="A307" s="20"/>
      <c r="B307" s="20"/>
      <c r="C307" s="20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0"/>
      <c r="P307" s="20"/>
    </row>
    <row r="308" ht="15.75" customHeight="1">
      <c r="A308" s="20"/>
      <c r="B308" s="20"/>
      <c r="C308" s="20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0"/>
      <c r="P308" s="20"/>
    </row>
    <row r="309" ht="15.75" customHeight="1">
      <c r="A309" s="20"/>
      <c r="B309" s="20"/>
      <c r="C309" s="20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0"/>
      <c r="P309" s="20"/>
    </row>
    <row r="310" ht="15.75" customHeight="1">
      <c r="A310" s="20"/>
      <c r="B310" s="20"/>
      <c r="C310" s="20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0"/>
      <c r="P310" s="20"/>
    </row>
    <row r="311" ht="15.75" customHeight="1">
      <c r="A311" s="20"/>
      <c r="B311" s="20"/>
      <c r="C311" s="20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0"/>
      <c r="P311" s="20"/>
    </row>
    <row r="312" ht="15.75" customHeight="1">
      <c r="A312" s="20"/>
      <c r="B312" s="20"/>
      <c r="C312" s="20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0"/>
      <c r="P312" s="20"/>
    </row>
    <row r="313" ht="15.75" customHeight="1">
      <c r="A313" s="20"/>
      <c r="B313" s="20"/>
      <c r="C313" s="20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0"/>
      <c r="P313" s="20"/>
    </row>
    <row r="314" ht="15.75" customHeight="1">
      <c r="A314" s="20"/>
      <c r="B314" s="20"/>
      <c r="C314" s="20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0"/>
      <c r="P314" s="20"/>
    </row>
    <row r="315" ht="15.75" customHeight="1">
      <c r="A315" s="20"/>
      <c r="B315" s="20"/>
      <c r="C315" s="20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0"/>
      <c r="P315" s="20"/>
    </row>
    <row r="316" ht="15.75" customHeight="1">
      <c r="A316" s="20"/>
      <c r="B316" s="20"/>
      <c r="C316" s="20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0"/>
      <c r="P316" s="20"/>
    </row>
    <row r="317" ht="15.75" customHeight="1">
      <c r="A317" s="20"/>
      <c r="B317" s="20"/>
      <c r="C317" s="20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0"/>
      <c r="P317" s="20"/>
    </row>
    <row r="318" ht="15.75" customHeight="1">
      <c r="A318" s="20"/>
      <c r="B318" s="20"/>
      <c r="C318" s="20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0"/>
      <c r="P318" s="20"/>
    </row>
    <row r="319" ht="15.75" customHeight="1">
      <c r="A319" s="20"/>
      <c r="B319" s="20"/>
      <c r="C319" s="20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0"/>
      <c r="P319" s="20"/>
    </row>
    <row r="320" ht="15.75" customHeight="1">
      <c r="A320" s="20"/>
      <c r="B320" s="20"/>
      <c r="C320" s="20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0"/>
      <c r="P320" s="20"/>
    </row>
    <row r="321" ht="15.75" customHeight="1">
      <c r="A321" s="20"/>
      <c r="B321" s="20"/>
      <c r="C321" s="20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0"/>
      <c r="P321" s="20"/>
    </row>
    <row r="322" ht="15.75" customHeight="1">
      <c r="A322" s="20"/>
      <c r="B322" s="20"/>
      <c r="C322" s="20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0"/>
      <c r="P322" s="20"/>
    </row>
    <row r="323" ht="15.75" customHeight="1">
      <c r="A323" s="20"/>
      <c r="B323" s="20"/>
      <c r="C323" s="20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0"/>
      <c r="P323" s="20"/>
    </row>
    <row r="324" ht="15.75" customHeight="1">
      <c r="A324" s="20"/>
      <c r="B324" s="20"/>
      <c r="C324" s="20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0"/>
      <c r="P324" s="20"/>
    </row>
    <row r="325" ht="15.75" customHeight="1">
      <c r="A325" s="20"/>
      <c r="B325" s="20"/>
      <c r="C325" s="20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0"/>
      <c r="P325" s="20"/>
    </row>
    <row r="326" ht="15.75" customHeight="1">
      <c r="A326" s="20"/>
      <c r="B326" s="20"/>
      <c r="C326" s="20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0"/>
      <c r="P326" s="20"/>
    </row>
    <row r="327" ht="15.75" customHeight="1">
      <c r="A327" s="20"/>
      <c r="B327" s="20"/>
      <c r="C327" s="20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0"/>
      <c r="P327" s="20"/>
    </row>
    <row r="328" ht="15.75" customHeight="1">
      <c r="A328" s="20"/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</row>
    <row r="329" ht="15.75" customHeight="1">
      <c r="A329" s="20"/>
      <c r="B329" s="20"/>
      <c r="C329" s="20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0"/>
      <c r="P329" s="20"/>
    </row>
    <row r="330" ht="15.75" customHeight="1">
      <c r="A330" s="20"/>
      <c r="B330" s="20"/>
      <c r="C330" s="20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0"/>
      <c r="P330" s="20"/>
    </row>
    <row r="331" ht="15.75" customHeight="1">
      <c r="A331" s="20"/>
      <c r="B331" s="20"/>
      <c r="C331" s="20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0"/>
      <c r="P331" s="20"/>
    </row>
    <row r="332" ht="15.75" customHeight="1">
      <c r="A332" s="20"/>
      <c r="B332" s="20"/>
      <c r="C332" s="20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0"/>
      <c r="P332" s="20"/>
    </row>
    <row r="333" ht="15.75" customHeight="1">
      <c r="A333" s="20"/>
      <c r="B333" s="20"/>
      <c r="C333" s="20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0"/>
      <c r="P333" s="20"/>
    </row>
    <row r="334" ht="15.75" customHeight="1">
      <c r="A334" s="20"/>
      <c r="B334" s="20"/>
      <c r="C334" s="20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0"/>
      <c r="P334" s="20"/>
    </row>
    <row r="335" ht="15.75" customHeight="1">
      <c r="A335" s="20"/>
      <c r="B335" s="20"/>
      <c r="C335" s="20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0"/>
      <c r="P335" s="20"/>
    </row>
    <row r="336" ht="15.75" customHeight="1">
      <c r="A336" s="20"/>
      <c r="B336" s="20"/>
      <c r="C336" s="20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0"/>
      <c r="P336" s="20"/>
    </row>
    <row r="337" ht="15.75" customHeight="1">
      <c r="A337" s="20"/>
      <c r="B337" s="20"/>
      <c r="C337" s="20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0"/>
      <c r="P337" s="20"/>
    </row>
    <row r="338" ht="15.75" customHeight="1">
      <c r="A338" s="20"/>
      <c r="B338" s="20"/>
      <c r="C338" s="20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0"/>
      <c r="P338" s="20"/>
    </row>
    <row r="339" ht="15.75" customHeight="1">
      <c r="A339" s="20"/>
      <c r="B339" s="20"/>
      <c r="C339" s="20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0"/>
      <c r="P339" s="20"/>
    </row>
    <row r="340" ht="15.75" customHeight="1">
      <c r="A340" s="20"/>
      <c r="B340" s="20"/>
      <c r="C340" s="20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0"/>
      <c r="P340" s="20"/>
    </row>
    <row r="341" ht="15.75" customHeight="1">
      <c r="A341" s="20"/>
      <c r="B341" s="20"/>
      <c r="C341" s="20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0"/>
      <c r="P341" s="20"/>
    </row>
    <row r="342" ht="15.75" customHeight="1">
      <c r="A342" s="20"/>
      <c r="B342" s="20"/>
      <c r="C342" s="20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0"/>
      <c r="P342" s="20"/>
    </row>
    <row r="343" ht="15.75" customHeight="1">
      <c r="A343" s="20"/>
      <c r="B343" s="20"/>
      <c r="C343" s="20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0"/>
      <c r="P343" s="20"/>
    </row>
    <row r="344" ht="15.75" customHeight="1">
      <c r="A344" s="20"/>
      <c r="B344" s="20"/>
      <c r="C344" s="20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0"/>
      <c r="P344" s="20"/>
    </row>
    <row r="345" ht="15.75" customHeight="1">
      <c r="A345" s="20"/>
      <c r="B345" s="20"/>
      <c r="C345" s="20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0"/>
      <c r="P345" s="20"/>
    </row>
    <row r="346" ht="15.75" customHeight="1">
      <c r="A346" s="20"/>
      <c r="B346" s="20"/>
      <c r="C346" s="20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0"/>
      <c r="P346" s="20"/>
    </row>
    <row r="347" ht="15.75" customHeight="1">
      <c r="A347" s="20"/>
      <c r="B347" s="20"/>
      <c r="C347" s="20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0"/>
      <c r="P347" s="20"/>
    </row>
    <row r="348" ht="15.75" customHeight="1">
      <c r="A348" s="20"/>
      <c r="B348" s="20"/>
      <c r="C348" s="20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0"/>
      <c r="P348" s="20"/>
    </row>
    <row r="349" ht="15.75" customHeight="1">
      <c r="A349" s="20"/>
      <c r="B349" s="20"/>
      <c r="C349" s="20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0"/>
      <c r="P349" s="20"/>
    </row>
    <row r="350" ht="15.75" customHeight="1">
      <c r="A350" s="20"/>
      <c r="B350" s="20"/>
      <c r="C350" s="20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0"/>
      <c r="P350" s="20"/>
    </row>
    <row r="351" ht="15.75" customHeight="1">
      <c r="A351" s="20"/>
      <c r="B351" s="20"/>
      <c r="C351" s="20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0"/>
      <c r="P351" s="20"/>
    </row>
    <row r="352" ht="15.75" customHeight="1">
      <c r="A352" s="20"/>
      <c r="B352" s="20"/>
      <c r="C352" s="20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0"/>
      <c r="P352" s="20"/>
    </row>
    <row r="353" ht="15.75" customHeight="1">
      <c r="A353" s="20"/>
      <c r="B353" s="20"/>
      <c r="C353" s="20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0"/>
      <c r="P353" s="20"/>
    </row>
    <row r="354" ht="15.75" customHeight="1">
      <c r="A354" s="20"/>
      <c r="B354" s="20"/>
      <c r="C354" s="20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0"/>
      <c r="P354" s="20"/>
    </row>
    <row r="355" ht="15.75" customHeight="1">
      <c r="A355" s="20"/>
      <c r="B355" s="20"/>
      <c r="C355" s="20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0"/>
      <c r="P355" s="20"/>
    </row>
    <row r="356" ht="15.7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</row>
    <row r="357" ht="15.75" customHeight="1">
      <c r="A357" s="20"/>
      <c r="B357" s="20"/>
      <c r="C357" s="20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0"/>
      <c r="P357" s="20"/>
    </row>
    <row r="358" ht="15.75" customHeight="1">
      <c r="A358" s="20"/>
      <c r="B358" s="20"/>
      <c r="C358" s="20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0"/>
      <c r="P358" s="20"/>
    </row>
    <row r="359" ht="15.75" customHeight="1">
      <c r="A359" s="20"/>
      <c r="B359" s="20"/>
      <c r="C359" s="20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0"/>
      <c r="P359" s="20"/>
    </row>
    <row r="360" ht="15.75" customHeight="1">
      <c r="A360" s="20"/>
      <c r="B360" s="20"/>
      <c r="C360" s="20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0"/>
      <c r="P360" s="20"/>
    </row>
    <row r="361" ht="15.75" customHeight="1">
      <c r="A361" s="20"/>
      <c r="B361" s="20"/>
      <c r="C361" s="20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0"/>
      <c r="P361" s="20"/>
    </row>
    <row r="362" ht="15.75" customHeight="1">
      <c r="A362" s="20"/>
      <c r="B362" s="20"/>
      <c r="C362" s="20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0"/>
      <c r="P362" s="20"/>
    </row>
    <row r="363" ht="15.75" customHeight="1">
      <c r="A363" s="20"/>
      <c r="B363" s="20"/>
      <c r="C363" s="20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0"/>
      <c r="P363" s="20"/>
    </row>
    <row r="364" ht="15.75" customHeight="1">
      <c r="A364" s="20"/>
      <c r="B364" s="20"/>
      <c r="C364" s="20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0"/>
      <c r="P364" s="20"/>
    </row>
    <row r="365" ht="15.75" customHeight="1">
      <c r="A365" s="20"/>
      <c r="B365" s="20"/>
      <c r="C365" s="20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0"/>
      <c r="P365" s="20"/>
    </row>
    <row r="366" ht="15.75" customHeight="1">
      <c r="A366" s="20"/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</row>
    <row r="367" ht="15.75" customHeight="1">
      <c r="A367" s="20"/>
      <c r="B367" s="20"/>
      <c r="C367" s="20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0"/>
      <c r="P367" s="20"/>
    </row>
    <row r="368" ht="15.75" customHeight="1">
      <c r="A368" s="20"/>
      <c r="B368" s="20"/>
      <c r="C368" s="20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0"/>
      <c r="P368" s="20"/>
    </row>
    <row r="369" ht="15.75" customHeight="1">
      <c r="A369" s="20"/>
      <c r="B369" s="20"/>
      <c r="C369" s="20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0"/>
      <c r="P369" s="20"/>
    </row>
    <row r="370" ht="15.75" customHeight="1">
      <c r="A370" s="20"/>
      <c r="B370" s="20"/>
      <c r="C370" s="20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0"/>
      <c r="P370" s="20"/>
    </row>
    <row r="371" ht="15.75" customHeight="1">
      <c r="A371" s="20"/>
      <c r="B371" s="20"/>
      <c r="C371" s="20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0"/>
      <c r="P371" s="20"/>
    </row>
    <row r="372" ht="15.75" customHeight="1">
      <c r="A372" s="20"/>
      <c r="B372" s="20"/>
      <c r="C372" s="20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0"/>
      <c r="P372" s="20"/>
    </row>
    <row r="373" ht="15.75" customHeight="1">
      <c r="A373" s="20"/>
      <c r="B373" s="20"/>
      <c r="C373" s="20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0"/>
      <c r="P373" s="20"/>
    </row>
    <row r="374" ht="15.75" customHeight="1">
      <c r="A374" s="20"/>
      <c r="B374" s="20"/>
      <c r="C374" s="20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0"/>
      <c r="P374" s="20"/>
    </row>
    <row r="375" ht="15.75" customHeight="1">
      <c r="A375" s="20"/>
      <c r="B375" s="20"/>
      <c r="C375" s="20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0"/>
      <c r="P375" s="20"/>
    </row>
    <row r="376" ht="15.75" customHeight="1">
      <c r="A376" s="20"/>
      <c r="B376" s="20"/>
      <c r="C376" s="20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0"/>
      <c r="P376" s="20"/>
    </row>
    <row r="377" ht="15.75" customHeight="1">
      <c r="A377" s="20"/>
      <c r="B377" s="20"/>
      <c r="C377" s="20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0"/>
      <c r="P377" s="20"/>
    </row>
    <row r="378" ht="15.75" customHeight="1">
      <c r="A378" s="20"/>
      <c r="B378" s="20"/>
      <c r="C378" s="20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0"/>
      <c r="P378" s="20"/>
    </row>
    <row r="379" ht="15.75" customHeight="1">
      <c r="A379" s="20"/>
      <c r="B379" s="20"/>
      <c r="C379" s="20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0"/>
      <c r="P379" s="20"/>
    </row>
    <row r="380" ht="15.75" customHeight="1">
      <c r="A380" s="20"/>
      <c r="B380" s="20"/>
      <c r="C380" s="20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0"/>
      <c r="P380" s="20"/>
    </row>
    <row r="381" ht="15.75" customHeight="1">
      <c r="A381" s="20"/>
      <c r="B381" s="20"/>
      <c r="C381" s="20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0"/>
      <c r="P381" s="20"/>
    </row>
    <row r="382" ht="15.75" customHeight="1">
      <c r="A382" s="20"/>
      <c r="B382" s="20"/>
      <c r="C382" s="20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0"/>
      <c r="P382" s="20"/>
    </row>
    <row r="383" ht="15.75" customHeight="1">
      <c r="A383" s="20"/>
      <c r="B383" s="20"/>
      <c r="C383" s="20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0"/>
      <c r="P383" s="20"/>
    </row>
    <row r="384" ht="15.75" customHeight="1">
      <c r="A384" s="20"/>
      <c r="B384" s="20"/>
      <c r="C384" s="20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0"/>
      <c r="P384" s="20"/>
    </row>
    <row r="385" ht="15.75" customHeight="1">
      <c r="A385" s="20"/>
      <c r="B385" s="20"/>
      <c r="C385" s="20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0"/>
      <c r="P385" s="20"/>
    </row>
    <row r="386" ht="15.75" customHeight="1">
      <c r="A386" s="20"/>
      <c r="B386" s="20"/>
      <c r="C386" s="20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0"/>
      <c r="P386" s="20"/>
    </row>
    <row r="387" ht="15.75" customHeight="1">
      <c r="A387" s="20"/>
      <c r="B387" s="20"/>
      <c r="C387" s="20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0"/>
      <c r="P387" s="20"/>
    </row>
    <row r="388" ht="15.75" customHeight="1">
      <c r="A388" s="20"/>
      <c r="B388" s="20"/>
      <c r="C388" s="20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0"/>
      <c r="P388" s="20"/>
    </row>
    <row r="389" ht="15.75" customHeight="1">
      <c r="A389" s="20"/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</row>
    <row r="390" ht="15.75" customHeight="1">
      <c r="A390" s="20"/>
      <c r="B390" s="20"/>
      <c r="C390" s="20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0"/>
      <c r="P390" s="20"/>
    </row>
    <row r="391" ht="15.75" customHeight="1">
      <c r="A391" s="20"/>
      <c r="B391" s="20"/>
      <c r="C391" s="20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0"/>
      <c r="P391" s="20"/>
    </row>
    <row r="392" ht="15.75" customHeight="1">
      <c r="A392" s="20"/>
      <c r="B392" s="20"/>
      <c r="C392" s="20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0"/>
      <c r="P392" s="20"/>
    </row>
    <row r="393" ht="15.75" customHeight="1">
      <c r="A393" s="20"/>
      <c r="B393" s="20"/>
      <c r="C393" s="20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0"/>
      <c r="P393" s="20"/>
    </row>
    <row r="394" ht="15.75" customHeight="1">
      <c r="A394" s="20"/>
      <c r="B394" s="20"/>
      <c r="C394" s="20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0"/>
      <c r="P394" s="20"/>
    </row>
    <row r="395" ht="15.75" customHeight="1">
      <c r="A395" s="20"/>
      <c r="B395" s="20"/>
      <c r="C395" s="20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0"/>
      <c r="P395" s="20"/>
    </row>
    <row r="396" ht="15.75" customHeight="1">
      <c r="A396" s="20"/>
      <c r="B396" s="20"/>
      <c r="C396" s="20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0"/>
      <c r="P396" s="20"/>
    </row>
    <row r="397" ht="15.75" customHeight="1">
      <c r="A397" s="20"/>
      <c r="B397" s="20"/>
      <c r="C397" s="20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0"/>
      <c r="P397" s="20"/>
    </row>
    <row r="398" ht="15.75" customHeight="1">
      <c r="A398" s="20"/>
      <c r="B398" s="20"/>
      <c r="C398" s="20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0"/>
      <c r="P398" s="20"/>
    </row>
    <row r="399" ht="15.75" customHeight="1">
      <c r="A399" s="20"/>
      <c r="B399" s="20"/>
      <c r="C399" s="20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0"/>
      <c r="P399" s="20"/>
    </row>
    <row r="400" ht="15.75" customHeight="1">
      <c r="A400" s="20"/>
      <c r="B400" s="20"/>
      <c r="C400" s="20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0"/>
      <c r="P400" s="20"/>
    </row>
    <row r="401" ht="15.75" customHeight="1">
      <c r="A401" s="20"/>
      <c r="B401" s="20"/>
      <c r="C401" s="20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0"/>
      <c r="P401" s="20"/>
    </row>
    <row r="402" ht="15.75" customHeight="1">
      <c r="A402" s="20"/>
      <c r="B402" s="20"/>
      <c r="C402" s="20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0"/>
      <c r="P402" s="20"/>
    </row>
    <row r="403" ht="15.75" customHeight="1">
      <c r="A403" s="20"/>
      <c r="B403" s="20"/>
      <c r="C403" s="20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0"/>
      <c r="P403" s="20"/>
    </row>
    <row r="404" ht="15.75" customHeight="1">
      <c r="A404" s="20"/>
      <c r="B404" s="20"/>
      <c r="C404" s="20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0"/>
      <c r="P404" s="20"/>
    </row>
    <row r="405" ht="15.75" customHeight="1">
      <c r="A405" s="20"/>
      <c r="B405" s="20"/>
      <c r="C405" s="20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0"/>
      <c r="P405" s="20"/>
    </row>
    <row r="406" ht="15.75" customHeight="1">
      <c r="A406" s="20"/>
      <c r="B406" s="20"/>
      <c r="C406" s="20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0"/>
      <c r="P406" s="20"/>
    </row>
    <row r="407" ht="15.75" customHeight="1">
      <c r="A407" s="20"/>
      <c r="B407" s="20"/>
      <c r="C407" s="20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0"/>
      <c r="P407" s="20"/>
    </row>
    <row r="408" ht="15.75" customHeight="1">
      <c r="A408" s="20"/>
      <c r="B408" s="20"/>
      <c r="C408" s="20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0"/>
      <c r="P408" s="20"/>
    </row>
    <row r="409" ht="15.75" customHeight="1">
      <c r="A409" s="20"/>
      <c r="B409" s="20"/>
      <c r="C409" s="20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0"/>
      <c r="P409" s="20"/>
    </row>
    <row r="410" ht="15.75" customHeight="1">
      <c r="A410" s="20"/>
      <c r="B410" s="20"/>
      <c r="C410" s="20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0"/>
      <c r="P410" s="20"/>
    </row>
    <row r="411" ht="15.75" customHeight="1">
      <c r="A411" s="20"/>
      <c r="B411" s="20"/>
      <c r="C411" s="20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0"/>
      <c r="P411" s="20"/>
    </row>
    <row r="412" ht="15.75" customHeight="1">
      <c r="A412" s="20"/>
      <c r="B412" s="20"/>
      <c r="C412" s="20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0"/>
      <c r="P412" s="20"/>
    </row>
    <row r="413" ht="15.75" customHeight="1">
      <c r="A413" s="20"/>
      <c r="B413" s="20"/>
      <c r="C413" s="20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0"/>
      <c r="P413" s="20"/>
    </row>
    <row r="414" ht="15.75" customHeight="1">
      <c r="A414" s="20"/>
      <c r="B414" s="20"/>
      <c r="C414" s="20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0"/>
      <c r="P414" s="20"/>
    </row>
    <row r="415" ht="15.75" customHeight="1">
      <c r="A415" s="20"/>
      <c r="B415" s="20"/>
      <c r="C415" s="20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0"/>
      <c r="P415" s="20"/>
    </row>
    <row r="416" ht="15.75" customHeight="1">
      <c r="A416" s="20"/>
      <c r="B416" s="20"/>
      <c r="C416" s="20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0"/>
      <c r="P416" s="20"/>
    </row>
    <row r="417" ht="15.75" customHeight="1">
      <c r="A417" s="20"/>
      <c r="B417" s="20"/>
      <c r="C417" s="20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0"/>
      <c r="P417" s="20"/>
    </row>
    <row r="418" ht="15.75" customHeight="1">
      <c r="A418" s="20"/>
      <c r="B418" s="20"/>
      <c r="C418" s="20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0"/>
      <c r="P418" s="20"/>
    </row>
    <row r="419" ht="15.75" customHeight="1">
      <c r="A419" s="20"/>
      <c r="B419" s="20"/>
      <c r="C419" s="20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0"/>
      <c r="P419" s="20"/>
    </row>
    <row r="420" ht="15.75" customHeight="1">
      <c r="A420" s="20"/>
      <c r="B420" s="20"/>
      <c r="C420" s="20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0"/>
      <c r="P420" s="20"/>
    </row>
    <row r="421" ht="15.75" customHeight="1">
      <c r="A421" s="20"/>
      <c r="B421" s="20"/>
      <c r="C421" s="20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0"/>
      <c r="P421" s="20"/>
    </row>
    <row r="422" ht="15.75" customHeight="1">
      <c r="A422" s="20"/>
      <c r="B422" s="20"/>
      <c r="C422" s="20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0"/>
      <c r="P422" s="20"/>
    </row>
    <row r="423" ht="15.75" customHeight="1">
      <c r="A423" s="20"/>
      <c r="B423" s="20"/>
      <c r="C423" s="20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0"/>
      <c r="P423" s="20"/>
    </row>
    <row r="424" ht="15.75" customHeight="1">
      <c r="A424" s="20"/>
      <c r="B424" s="20"/>
      <c r="C424" s="20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0"/>
      <c r="P424" s="20"/>
    </row>
    <row r="425" ht="15.75" customHeight="1">
      <c r="A425" s="20"/>
      <c r="B425" s="20"/>
      <c r="C425" s="20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0"/>
      <c r="P425" s="20"/>
    </row>
    <row r="426" ht="15.75" customHeight="1">
      <c r="A426" s="20"/>
      <c r="B426" s="20"/>
      <c r="C426" s="20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0"/>
      <c r="P426" s="20"/>
    </row>
    <row r="427" ht="15.75" customHeight="1">
      <c r="A427" s="20"/>
      <c r="B427" s="20"/>
      <c r="C427" s="20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0"/>
      <c r="P427" s="20"/>
    </row>
    <row r="428" ht="15.75" customHeight="1">
      <c r="A428" s="20"/>
      <c r="B428" s="20"/>
      <c r="C428" s="20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0"/>
      <c r="P428" s="20"/>
    </row>
    <row r="429" ht="15.75" customHeight="1">
      <c r="A429" s="20"/>
      <c r="B429" s="20"/>
      <c r="C429" s="20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0"/>
      <c r="P429" s="20"/>
    </row>
    <row r="430" ht="15.75" customHeight="1">
      <c r="A430" s="20"/>
      <c r="B430" s="20"/>
      <c r="C430" s="20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0"/>
      <c r="P430" s="20"/>
    </row>
    <row r="431" ht="15.75" customHeight="1">
      <c r="A431" s="20"/>
      <c r="B431" s="20"/>
      <c r="C431" s="20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0"/>
      <c r="P431" s="20"/>
    </row>
    <row r="432" ht="15.75" customHeight="1">
      <c r="A432" s="20"/>
      <c r="B432" s="20"/>
      <c r="C432" s="20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0"/>
      <c r="P432" s="20"/>
    </row>
    <row r="433" ht="15.75" customHeight="1">
      <c r="A433" s="20"/>
      <c r="B433" s="20"/>
      <c r="C433" s="20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0"/>
      <c r="P433" s="20"/>
    </row>
    <row r="434" ht="15.75" customHeight="1">
      <c r="A434" s="20"/>
      <c r="B434" s="20"/>
      <c r="C434" s="20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0"/>
      <c r="P434" s="20"/>
    </row>
    <row r="435" ht="15.75" customHeight="1">
      <c r="A435" s="20"/>
      <c r="B435" s="20"/>
      <c r="C435" s="20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0"/>
      <c r="P435" s="20"/>
    </row>
    <row r="436" ht="15.75" customHeight="1">
      <c r="A436" s="20"/>
      <c r="B436" s="20"/>
      <c r="C436" s="20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0"/>
      <c r="P436" s="20"/>
    </row>
    <row r="437" ht="15.75" customHeight="1">
      <c r="A437" s="20"/>
      <c r="B437" s="20"/>
      <c r="C437" s="20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0"/>
      <c r="P437" s="20"/>
    </row>
    <row r="438" ht="15.75" customHeight="1">
      <c r="A438" s="20"/>
      <c r="B438" s="20"/>
      <c r="C438" s="20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0"/>
      <c r="P438" s="20"/>
    </row>
    <row r="439" ht="15.75" customHeight="1">
      <c r="A439" s="20"/>
      <c r="B439" s="20"/>
      <c r="C439" s="20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0"/>
      <c r="P439" s="20"/>
    </row>
    <row r="440" ht="15.75" customHeight="1">
      <c r="A440" s="20"/>
      <c r="B440" s="20"/>
      <c r="C440" s="20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0"/>
      <c r="P440" s="20"/>
    </row>
    <row r="441" ht="15.75" customHeight="1">
      <c r="A441" s="20"/>
      <c r="B441" s="20"/>
      <c r="C441" s="20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0"/>
      <c r="P441" s="20"/>
    </row>
    <row r="442" ht="15.75" customHeight="1">
      <c r="A442" s="20"/>
      <c r="B442" s="20"/>
      <c r="C442" s="20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0"/>
      <c r="P442" s="20"/>
    </row>
    <row r="443" ht="15.75" customHeight="1">
      <c r="A443" s="20"/>
      <c r="B443" s="20"/>
      <c r="C443" s="20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0"/>
      <c r="P443" s="20"/>
    </row>
    <row r="444" ht="15.75" customHeight="1">
      <c r="A444" s="20"/>
      <c r="B444" s="20"/>
      <c r="C444" s="20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0"/>
      <c r="P444" s="20"/>
    </row>
    <row r="445" ht="15.75" customHeight="1">
      <c r="A445" s="20"/>
      <c r="B445" s="20"/>
      <c r="C445" s="20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0"/>
      <c r="P445" s="20"/>
    </row>
    <row r="446" ht="15.75" customHeight="1">
      <c r="A446" s="20"/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</row>
    <row r="447" ht="15.75" customHeight="1">
      <c r="A447" s="20"/>
      <c r="B447" s="20"/>
      <c r="C447" s="20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0"/>
      <c r="P447" s="20"/>
    </row>
    <row r="448" ht="15.75" customHeight="1">
      <c r="A448" s="20"/>
      <c r="B448" s="20"/>
      <c r="C448" s="20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0"/>
      <c r="P448" s="20"/>
    </row>
    <row r="449" ht="15.75" customHeight="1">
      <c r="A449" s="20"/>
      <c r="B449" s="20"/>
      <c r="C449" s="20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0"/>
      <c r="P449" s="20"/>
    </row>
    <row r="450" ht="15.75" customHeight="1">
      <c r="A450" s="20"/>
      <c r="B450" s="20"/>
      <c r="C450" s="20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0"/>
      <c r="P450" s="20"/>
    </row>
    <row r="451" ht="15.75" customHeight="1">
      <c r="A451" s="20"/>
      <c r="B451" s="20"/>
      <c r="C451" s="20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0"/>
      <c r="P451" s="20"/>
    </row>
    <row r="452" ht="15.75" customHeight="1">
      <c r="A452" s="20"/>
      <c r="B452" s="20"/>
      <c r="C452" s="20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0"/>
      <c r="P452" s="20"/>
    </row>
    <row r="453" ht="15.75" customHeight="1">
      <c r="A453" s="20"/>
      <c r="B453" s="20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</row>
    <row r="454" ht="15.75" customHeight="1">
      <c r="A454" s="20"/>
      <c r="B454" s="20"/>
      <c r="C454" s="20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0"/>
      <c r="P454" s="20"/>
    </row>
    <row r="455" ht="15.75" customHeight="1">
      <c r="A455" s="20"/>
      <c r="B455" s="20"/>
      <c r="C455" s="20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0"/>
      <c r="P455" s="20"/>
    </row>
    <row r="456" ht="15.75" customHeight="1">
      <c r="A456" s="20"/>
      <c r="B456" s="20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</row>
    <row r="457" ht="15.75" customHeight="1">
      <c r="A457" s="20"/>
      <c r="B457" s="20"/>
      <c r="C457" s="20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0"/>
      <c r="P457" s="20"/>
    </row>
    <row r="458" ht="15.75" customHeight="1">
      <c r="A458" s="20"/>
      <c r="B458" s="20"/>
      <c r="C458" s="20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0"/>
      <c r="P458" s="20"/>
    </row>
    <row r="459" ht="15.75" customHeight="1">
      <c r="A459" s="20"/>
      <c r="B459" s="20"/>
      <c r="C459" s="20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0"/>
      <c r="P459" s="20"/>
    </row>
    <row r="460" ht="15.75" customHeight="1">
      <c r="A460" s="20"/>
      <c r="B460" s="20"/>
      <c r="C460" s="20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0"/>
      <c r="P460" s="20"/>
    </row>
    <row r="461" ht="15.75" customHeight="1">
      <c r="A461" s="20"/>
      <c r="B461" s="20"/>
      <c r="C461" s="20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0"/>
      <c r="P461" s="20"/>
    </row>
    <row r="462" ht="15.75" customHeight="1">
      <c r="A462" s="20"/>
      <c r="B462" s="20"/>
      <c r="C462" s="20"/>
      <c r="D462" s="20"/>
      <c r="E462" s="20"/>
      <c r="F462" s="20"/>
      <c r="G462" s="20"/>
      <c r="H462" s="20"/>
      <c r="I462" s="20"/>
      <c r="J462" s="20"/>
      <c r="K462" s="20"/>
      <c r="L462" s="20"/>
      <c r="M462" s="20"/>
      <c r="N462" s="20"/>
      <c r="O462" s="20"/>
      <c r="P462" s="20"/>
    </row>
    <row r="463" ht="15.75" customHeight="1">
      <c r="A463" s="20"/>
      <c r="B463" s="20"/>
      <c r="C463" s="20"/>
      <c r="D463" s="20"/>
      <c r="E463" s="20"/>
      <c r="F463" s="20"/>
      <c r="G463" s="20"/>
      <c r="H463" s="20"/>
      <c r="I463" s="20"/>
      <c r="J463" s="20"/>
      <c r="K463" s="20"/>
      <c r="L463" s="20"/>
      <c r="M463" s="20"/>
      <c r="N463" s="20"/>
      <c r="O463" s="20"/>
      <c r="P463" s="20"/>
    </row>
    <row r="464" ht="15.75" customHeight="1">
      <c r="A464" s="20"/>
      <c r="B464" s="20"/>
      <c r="C464" s="20"/>
      <c r="D464" s="20"/>
      <c r="E464" s="20"/>
      <c r="F464" s="20"/>
      <c r="G464" s="20"/>
      <c r="H464" s="20"/>
      <c r="I464" s="20"/>
      <c r="J464" s="20"/>
      <c r="K464" s="20"/>
      <c r="L464" s="20"/>
      <c r="M464" s="20"/>
      <c r="N464" s="20"/>
      <c r="O464" s="20"/>
      <c r="P464" s="20"/>
    </row>
    <row r="465" ht="15.75" customHeight="1">
      <c r="A465" s="20"/>
      <c r="B465" s="20"/>
      <c r="C465" s="20"/>
      <c r="D465" s="20"/>
      <c r="E465" s="20"/>
      <c r="F465" s="20"/>
      <c r="G465" s="20"/>
      <c r="H465" s="20"/>
      <c r="I465" s="20"/>
      <c r="J465" s="20"/>
      <c r="K465" s="20"/>
      <c r="L465" s="20"/>
      <c r="M465" s="20"/>
      <c r="N465" s="20"/>
      <c r="O465" s="20"/>
      <c r="P465" s="20"/>
    </row>
    <row r="466" ht="15.75" customHeight="1">
      <c r="A466" s="20"/>
      <c r="B466" s="20"/>
      <c r="C466" s="20"/>
      <c r="D466" s="20"/>
      <c r="E466" s="20"/>
      <c r="F466" s="20"/>
      <c r="G466" s="20"/>
      <c r="H466" s="20"/>
      <c r="I466" s="20"/>
      <c r="J466" s="20"/>
      <c r="K466" s="20"/>
      <c r="L466" s="20"/>
      <c r="M466" s="20"/>
      <c r="N466" s="20"/>
      <c r="O466" s="20"/>
      <c r="P466" s="20"/>
    </row>
    <row r="467" ht="15.75" customHeight="1">
      <c r="A467" s="20"/>
      <c r="B467" s="20"/>
      <c r="C467" s="20"/>
      <c r="D467" s="20"/>
      <c r="E467" s="20"/>
      <c r="F467" s="20"/>
      <c r="G467" s="20"/>
      <c r="H467" s="20"/>
      <c r="I467" s="20"/>
      <c r="J467" s="20"/>
      <c r="K467" s="20"/>
      <c r="L467" s="20"/>
      <c r="M467" s="20"/>
      <c r="N467" s="20"/>
      <c r="O467" s="20"/>
      <c r="P467" s="20"/>
    </row>
    <row r="468" ht="15.75" customHeight="1">
      <c r="A468" s="20"/>
      <c r="B468" s="20"/>
      <c r="C468" s="20"/>
      <c r="D468" s="20"/>
      <c r="E468" s="20"/>
      <c r="F468" s="20"/>
      <c r="G468" s="20"/>
      <c r="H468" s="20"/>
      <c r="I468" s="20"/>
      <c r="J468" s="20"/>
      <c r="K468" s="20"/>
      <c r="L468" s="20"/>
      <c r="M468" s="20"/>
      <c r="N468" s="20"/>
      <c r="O468" s="20"/>
      <c r="P468" s="20"/>
    </row>
    <row r="469" ht="15.75" customHeight="1">
      <c r="A469" s="20"/>
      <c r="B469" s="20"/>
      <c r="C469" s="20"/>
      <c r="D469" s="20"/>
      <c r="E469" s="20"/>
      <c r="F469" s="20"/>
      <c r="G469" s="20"/>
      <c r="H469" s="20"/>
      <c r="I469" s="20"/>
      <c r="J469" s="20"/>
      <c r="K469" s="20"/>
      <c r="L469" s="20"/>
      <c r="M469" s="20"/>
      <c r="N469" s="20"/>
      <c r="O469" s="20"/>
      <c r="P469" s="20"/>
    </row>
    <row r="470" ht="15.75" customHeight="1">
      <c r="A470" s="20"/>
      <c r="B470" s="20"/>
      <c r="C470" s="20"/>
      <c r="D470" s="20"/>
      <c r="E470" s="20"/>
      <c r="F470" s="20"/>
      <c r="G470" s="20"/>
      <c r="H470" s="20"/>
      <c r="I470" s="20"/>
      <c r="J470" s="20"/>
      <c r="K470" s="20"/>
      <c r="L470" s="20"/>
      <c r="M470" s="20"/>
      <c r="N470" s="20"/>
      <c r="O470" s="20"/>
      <c r="P470" s="20"/>
    </row>
    <row r="471" ht="15.75" customHeight="1">
      <c r="A471" s="20"/>
      <c r="B471" s="20"/>
      <c r="C471" s="20"/>
      <c r="D471" s="20"/>
      <c r="E471" s="20"/>
      <c r="F471" s="20"/>
      <c r="G471" s="20"/>
      <c r="H471" s="20"/>
      <c r="I471" s="20"/>
      <c r="J471" s="20"/>
      <c r="K471" s="20"/>
      <c r="L471" s="20"/>
      <c r="M471" s="20"/>
      <c r="N471" s="20"/>
      <c r="O471" s="20"/>
      <c r="P471" s="20"/>
    </row>
    <row r="472" ht="15.75" customHeight="1">
      <c r="A472" s="20"/>
      <c r="B472" s="20"/>
      <c r="C472" s="20"/>
      <c r="D472" s="20"/>
      <c r="E472" s="20"/>
      <c r="F472" s="20"/>
      <c r="G472" s="20"/>
      <c r="H472" s="20"/>
      <c r="I472" s="20"/>
      <c r="J472" s="20"/>
      <c r="K472" s="20"/>
      <c r="L472" s="20"/>
      <c r="M472" s="20"/>
      <c r="N472" s="20"/>
      <c r="O472" s="20"/>
      <c r="P472" s="20"/>
    </row>
    <row r="473" ht="15.75" customHeight="1">
      <c r="A473" s="20"/>
      <c r="B473" s="20"/>
      <c r="C473" s="20"/>
      <c r="D473" s="20"/>
      <c r="E473" s="20"/>
      <c r="F473" s="20"/>
      <c r="G473" s="20"/>
      <c r="H473" s="20"/>
      <c r="I473" s="20"/>
      <c r="J473" s="20"/>
      <c r="K473" s="20"/>
      <c r="L473" s="20"/>
      <c r="M473" s="20"/>
      <c r="N473" s="20"/>
      <c r="O473" s="20"/>
      <c r="P473" s="20"/>
    </row>
    <row r="474" ht="15.75" customHeight="1">
      <c r="A474" s="20"/>
      <c r="B474" s="20"/>
      <c r="C474" s="20"/>
      <c r="D474" s="20"/>
      <c r="E474" s="20"/>
      <c r="F474" s="20"/>
      <c r="G474" s="20"/>
      <c r="H474" s="20"/>
      <c r="I474" s="20"/>
      <c r="J474" s="20"/>
      <c r="K474" s="20"/>
      <c r="L474" s="20"/>
      <c r="M474" s="20"/>
      <c r="N474" s="20"/>
      <c r="O474" s="20"/>
      <c r="P474" s="20"/>
    </row>
    <row r="475" ht="15.75" customHeight="1">
      <c r="A475" s="20"/>
      <c r="B475" s="20"/>
      <c r="C475" s="20"/>
      <c r="D475" s="20"/>
      <c r="E475" s="20"/>
      <c r="F475" s="20"/>
      <c r="G475" s="20"/>
      <c r="H475" s="20"/>
      <c r="I475" s="20"/>
      <c r="J475" s="20"/>
      <c r="K475" s="20"/>
      <c r="L475" s="20"/>
      <c r="M475" s="20"/>
      <c r="N475" s="20"/>
      <c r="O475" s="20"/>
      <c r="P475" s="20"/>
    </row>
    <row r="476" ht="15.75" customHeight="1">
      <c r="A476" s="20"/>
      <c r="B476" s="20"/>
      <c r="C476" s="20"/>
      <c r="D476" s="20"/>
      <c r="E476" s="20"/>
      <c r="F476" s="20"/>
      <c r="G476" s="20"/>
      <c r="H476" s="20"/>
      <c r="I476" s="20"/>
      <c r="J476" s="20"/>
      <c r="K476" s="20"/>
      <c r="L476" s="20"/>
      <c r="M476" s="20"/>
      <c r="N476" s="20"/>
      <c r="O476" s="20"/>
      <c r="P476" s="20"/>
    </row>
    <row r="477" ht="15.75" customHeight="1">
      <c r="A477" s="20"/>
      <c r="B477" s="20"/>
      <c r="C477" s="20"/>
      <c r="D477" s="20"/>
      <c r="E477" s="20"/>
      <c r="F477" s="20"/>
      <c r="G477" s="20"/>
      <c r="H477" s="20"/>
      <c r="I477" s="20"/>
      <c r="J477" s="20"/>
      <c r="K477" s="20"/>
      <c r="L477" s="20"/>
      <c r="M477" s="20"/>
      <c r="N477" s="20"/>
      <c r="O477" s="20"/>
      <c r="P477" s="20"/>
    </row>
    <row r="478" ht="15.75" customHeight="1">
      <c r="A478" s="20"/>
      <c r="B478" s="20"/>
      <c r="C478" s="20"/>
      <c r="D478" s="20"/>
      <c r="E478" s="20"/>
      <c r="F478" s="20"/>
      <c r="G478" s="20"/>
      <c r="H478" s="20"/>
      <c r="I478" s="20"/>
      <c r="J478" s="20"/>
      <c r="K478" s="20"/>
      <c r="L478" s="20"/>
      <c r="M478" s="20"/>
      <c r="N478" s="20"/>
      <c r="O478" s="20"/>
      <c r="P478" s="20"/>
    </row>
    <row r="479" ht="15.75" customHeight="1">
      <c r="A479" s="20"/>
      <c r="B479" s="20"/>
      <c r="C479" s="20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</row>
    <row r="480" ht="15.75" customHeight="1">
      <c r="A480" s="20"/>
      <c r="B480" s="20"/>
      <c r="C480" s="20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</row>
    <row r="481" ht="15.75" customHeight="1">
      <c r="A481" s="20"/>
      <c r="B481" s="20"/>
      <c r="C481" s="20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</row>
    <row r="482" ht="15.75" customHeight="1">
      <c r="A482" s="20"/>
      <c r="B482" s="20"/>
      <c r="C482" s="20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</row>
    <row r="483" ht="15.75" customHeight="1">
      <c r="A483" s="20"/>
      <c r="B483" s="20"/>
      <c r="C483" s="20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</row>
    <row r="484" ht="15.75" customHeight="1">
      <c r="A484" s="20"/>
      <c r="B484" s="20"/>
      <c r="C484" s="20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</row>
    <row r="485" ht="15.75" customHeight="1">
      <c r="A485" s="20"/>
      <c r="B485" s="20"/>
      <c r="C485" s="20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</row>
    <row r="486" ht="15.75" customHeight="1">
      <c r="A486" s="20"/>
      <c r="B486" s="20"/>
      <c r="C486" s="20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</row>
    <row r="487" ht="15.75" customHeight="1">
      <c r="A487" s="20"/>
      <c r="B487" s="20"/>
      <c r="C487" s="20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</row>
    <row r="488" ht="15.75" customHeight="1">
      <c r="A488" s="20"/>
      <c r="B488" s="20"/>
      <c r="C488" s="20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</row>
    <row r="489" ht="15.75" customHeight="1">
      <c r="A489" s="20"/>
      <c r="B489" s="20"/>
      <c r="C489" s="20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</row>
    <row r="490" ht="15.75" customHeight="1">
      <c r="A490" s="20"/>
      <c r="B490" s="20"/>
      <c r="C490" s="20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</row>
    <row r="491" ht="15.75" customHeight="1">
      <c r="A491" s="20"/>
      <c r="B491" s="20"/>
      <c r="C491" s="20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</row>
    <row r="492" ht="15.75" customHeight="1">
      <c r="A492" s="20"/>
      <c r="B492" s="20"/>
      <c r="C492" s="20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</row>
    <row r="493" ht="15.75" customHeight="1">
      <c r="A493" s="20"/>
      <c r="B493" s="20"/>
      <c r="C493" s="20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</row>
    <row r="494" ht="15.75" customHeight="1">
      <c r="A494" s="20"/>
      <c r="B494" s="20"/>
      <c r="C494" s="20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</row>
    <row r="495" ht="15.75" customHeight="1">
      <c r="A495" s="20"/>
      <c r="B495" s="20"/>
      <c r="C495" s="20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</row>
    <row r="496" ht="15.75" customHeight="1">
      <c r="A496" s="20"/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</row>
    <row r="497" ht="15.75" customHeight="1">
      <c r="A497" s="20"/>
      <c r="B497" s="20"/>
      <c r="C497" s="20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</row>
    <row r="498" ht="15.75" customHeight="1">
      <c r="A498" s="20"/>
      <c r="B498" s="20"/>
      <c r="C498" s="20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</row>
    <row r="499" ht="15.75" customHeight="1">
      <c r="A499" s="20"/>
      <c r="B499" s="20"/>
      <c r="C499" s="20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</row>
    <row r="500" ht="15.75" customHeight="1">
      <c r="A500" s="20"/>
      <c r="B500" s="20"/>
      <c r="C500" s="20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</row>
    <row r="501" ht="15.75" customHeight="1">
      <c r="A501" s="20"/>
      <c r="B501" s="20"/>
      <c r="C501" s="20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</row>
    <row r="502" ht="15.75" customHeight="1">
      <c r="A502" s="20"/>
      <c r="B502" s="20"/>
      <c r="C502" s="20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</row>
    <row r="503" ht="15.75" customHeight="1">
      <c r="A503" s="20"/>
      <c r="B503" s="20"/>
      <c r="C503" s="20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</row>
    <row r="504" ht="15.75" customHeight="1">
      <c r="A504" s="20"/>
      <c r="B504" s="20"/>
      <c r="C504" s="20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</row>
    <row r="505" ht="15.75" customHeight="1">
      <c r="A505" s="20"/>
      <c r="B505" s="20"/>
      <c r="C505" s="20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</row>
    <row r="506" ht="15.75" customHeight="1">
      <c r="A506" s="20"/>
      <c r="B506" s="20"/>
      <c r="C506" s="20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</row>
    <row r="507" ht="15.75" customHeight="1">
      <c r="A507" s="20"/>
      <c r="B507" s="20"/>
      <c r="C507" s="20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</row>
    <row r="508" ht="15.75" customHeight="1">
      <c r="A508" s="20"/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</row>
    <row r="509" ht="15.75" customHeight="1">
      <c r="A509" s="20"/>
      <c r="B509" s="20"/>
      <c r="C509" s="20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</row>
    <row r="510" ht="15.75" customHeight="1">
      <c r="A510" s="20"/>
      <c r="B510" s="20"/>
      <c r="C510" s="20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</row>
    <row r="511" ht="15.75" customHeight="1">
      <c r="A511" s="20"/>
      <c r="B511" s="20"/>
      <c r="C511" s="20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</row>
    <row r="512" ht="15.75" customHeight="1">
      <c r="A512" s="20"/>
      <c r="B512" s="20"/>
      <c r="C512" s="20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</row>
    <row r="513" ht="15.75" customHeight="1">
      <c r="A513" s="20"/>
      <c r="B513" s="20"/>
      <c r="C513" s="20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</row>
    <row r="514" ht="15.75" customHeight="1">
      <c r="A514" s="20"/>
      <c r="B514" s="20"/>
      <c r="C514" s="20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</row>
    <row r="515" ht="15.75" customHeight="1">
      <c r="A515" s="20"/>
      <c r="B515" s="20"/>
      <c r="C515" s="20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</row>
    <row r="516" ht="15.75" customHeight="1">
      <c r="A516" s="20"/>
      <c r="B516" s="20"/>
      <c r="C516" s="20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</row>
    <row r="517" ht="15.75" customHeight="1">
      <c r="A517" s="20"/>
      <c r="B517" s="20"/>
      <c r="C517" s="20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</row>
    <row r="518" ht="15.75" customHeight="1">
      <c r="A518" s="20"/>
      <c r="B518" s="20"/>
      <c r="C518" s="20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</row>
    <row r="519" ht="15.75" customHeight="1">
      <c r="A519" s="20"/>
      <c r="B519" s="20"/>
      <c r="C519" s="20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</row>
    <row r="520" ht="15.75" customHeight="1">
      <c r="A520" s="20"/>
      <c r="B520" s="20"/>
      <c r="C520" s="20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</row>
    <row r="521" ht="15.75" customHeight="1">
      <c r="A521" s="20"/>
      <c r="B521" s="20"/>
      <c r="C521" s="20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</row>
    <row r="522" ht="15.75" customHeight="1">
      <c r="A522" s="20"/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</row>
    <row r="523" ht="15.75" customHeight="1">
      <c r="A523" s="20"/>
      <c r="B523" s="20"/>
      <c r="C523" s="20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</row>
    <row r="524" ht="15.75" customHeight="1">
      <c r="A524" s="20"/>
      <c r="B524" s="20"/>
      <c r="C524" s="20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</row>
    <row r="525" ht="15.75" customHeight="1">
      <c r="A525" s="20"/>
      <c r="B525" s="20"/>
      <c r="C525" s="20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</row>
    <row r="526" ht="15.75" customHeight="1">
      <c r="A526" s="20"/>
      <c r="B526" s="20"/>
      <c r="C526" s="20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</row>
    <row r="527" ht="15.75" customHeight="1">
      <c r="A527" s="20"/>
      <c r="B527" s="20"/>
      <c r="C527" s="20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</row>
    <row r="528" ht="15.75" customHeight="1">
      <c r="A528" s="20"/>
      <c r="B528" s="20"/>
      <c r="C528" s="20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</row>
    <row r="529" ht="15.75" customHeight="1">
      <c r="A529" s="20"/>
      <c r="B529" s="20"/>
      <c r="C529" s="20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</row>
    <row r="530" ht="15.75" customHeight="1">
      <c r="A530" s="20"/>
      <c r="B530" s="20"/>
      <c r="C530" s="20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</row>
    <row r="531" ht="15.75" customHeight="1">
      <c r="A531" s="20"/>
      <c r="B531" s="20"/>
      <c r="C531" s="20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</row>
    <row r="532" ht="15.75" customHeight="1">
      <c r="A532" s="20"/>
      <c r="B532" s="20"/>
      <c r="C532" s="20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</row>
    <row r="533" ht="15.75" customHeight="1">
      <c r="A533" s="20"/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</row>
    <row r="534" ht="15.75" customHeight="1">
      <c r="A534" s="20"/>
      <c r="B534" s="20"/>
      <c r="C534" s="20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</row>
    <row r="535" ht="15.75" customHeight="1">
      <c r="A535" s="20"/>
      <c r="B535" s="20"/>
      <c r="C535" s="20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</row>
    <row r="536" ht="15.75" customHeight="1">
      <c r="A536" s="20"/>
      <c r="B536" s="20"/>
      <c r="C536" s="20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</row>
    <row r="537" ht="15.75" customHeight="1">
      <c r="A537" s="20"/>
      <c r="B537" s="20"/>
      <c r="C537" s="20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</row>
    <row r="538" ht="15.75" customHeight="1">
      <c r="A538" s="20"/>
      <c r="B538" s="20"/>
      <c r="C538" s="20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</row>
    <row r="539" ht="15.75" customHeight="1">
      <c r="A539" s="20"/>
      <c r="B539" s="20"/>
      <c r="C539" s="20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</row>
    <row r="540" ht="15.75" customHeight="1">
      <c r="A540" s="20"/>
      <c r="B540" s="20"/>
      <c r="C540" s="20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</row>
    <row r="541" ht="15.75" customHeight="1">
      <c r="A541" s="20"/>
      <c r="B541" s="20"/>
      <c r="C541" s="20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</row>
    <row r="542" ht="15.75" customHeight="1">
      <c r="A542" s="20"/>
      <c r="B542" s="20"/>
      <c r="C542" s="20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</row>
    <row r="543" ht="15.75" customHeight="1">
      <c r="A543" s="20"/>
      <c r="B543" s="20"/>
      <c r="C543" s="20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</row>
    <row r="544" ht="15.75" customHeight="1">
      <c r="A544" s="20"/>
      <c r="B544" s="20"/>
      <c r="C544" s="20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</row>
    <row r="545" ht="15.75" customHeight="1">
      <c r="A545" s="20"/>
      <c r="B545" s="20"/>
      <c r="C545" s="20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</row>
    <row r="546" ht="15.75" customHeight="1">
      <c r="A546" s="20"/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</row>
    <row r="547" ht="15.75" customHeight="1">
      <c r="A547" s="20"/>
      <c r="B547" s="20"/>
      <c r="C547" s="20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</row>
    <row r="548" ht="15.75" customHeight="1">
      <c r="A548" s="20"/>
      <c r="B548" s="20"/>
      <c r="C548" s="20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</row>
    <row r="549" ht="15.75" customHeight="1">
      <c r="A549" s="20"/>
      <c r="B549" s="20"/>
      <c r="C549" s="20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</row>
    <row r="550" ht="15.75" customHeight="1">
      <c r="A550" s="20"/>
      <c r="B550" s="20"/>
      <c r="C550" s="20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</row>
    <row r="551" ht="15.75" customHeight="1">
      <c r="A551" s="20"/>
      <c r="B551" s="20"/>
      <c r="C551" s="20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</row>
    <row r="552" ht="15.75" customHeight="1">
      <c r="A552" s="20"/>
      <c r="B552" s="20"/>
      <c r="C552" s="20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</row>
    <row r="553" ht="15.75" customHeight="1">
      <c r="A553" s="20"/>
      <c r="B553" s="20"/>
      <c r="C553" s="20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</row>
    <row r="554" ht="15.75" customHeight="1">
      <c r="A554" s="20"/>
      <c r="B554" s="20"/>
      <c r="C554" s="20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</row>
    <row r="555" ht="15.75" customHeight="1">
      <c r="A555" s="20"/>
      <c r="B555" s="20"/>
      <c r="C555" s="20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</row>
    <row r="556" ht="15.75" customHeight="1">
      <c r="A556" s="20"/>
      <c r="B556" s="20"/>
      <c r="C556" s="20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</row>
    <row r="557" ht="15.75" customHeight="1">
      <c r="A557" s="20"/>
      <c r="B557" s="20"/>
      <c r="C557" s="20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</row>
    <row r="558" ht="15.75" customHeight="1">
      <c r="A558" s="20"/>
      <c r="B558" s="20"/>
      <c r="C558" s="20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</row>
    <row r="559" ht="15.75" customHeight="1">
      <c r="A559" s="20"/>
      <c r="B559" s="20"/>
      <c r="C559" s="20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</row>
    <row r="560" ht="15.75" customHeight="1">
      <c r="A560" s="20"/>
      <c r="B560" s="20"/>
      <c r="C560" s="20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</row>
    <row r="561" ht="15.75" customHeight="1">
      <c r="A561" s="20"/>
      <c r="B561" s="20"/>
      <c r="C561" s="20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</row>
    <row r="562" ht="15.75" customHeight="1">
      <c r="A562" s="20"/>
      <c r="B562" s="20"/>
      <c r="C562" s="20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</row>
    <row r="563" ht="15.75" customHeight="1">
      <c r="A563" s="20"/>
      <c r="B563" s="20"/>
      <c r="C563" s="20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</row>
    <row r="564" ht="15.75" customHeight="1">
      <c r="A564" s="20"/>
      <c r="B564" s="20"/>
      <c r="C564" s="20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</row>
    <row r="565" ht="15.75" customHeight="1">
      <c r="A565" s="20"/>
      <c r="B565" s="20"/>
      <c r="C565" s="20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</row>
    <row r="566" ht="15.75" customHeight="1">
      <c r="A566" s="20"/>
      <c r="B566" s="20"/>
      <c r="C566" s="20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</row>
    <row r="567" ht="15.75" customHeight="1">
      <c r="A567" s="20"/>
      <c r="B567" s="20"/>
      <c r="C567" s="20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</row>
    <row r="568" ht="15.75" customHeight="1">
      <c r="A568" s="20"/>
      <c r="B568" s="20"/>
      <c r="C568" s="20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</row>
    <row r="569" ht="15.75" customHeight="1">
      <c r="A569" s="20"/>
      <c r="B569" s="20"/>
      <c r="C569" s="20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</row>
    <row r="570" ht="15.75" customHeight="1">
      <c r="A570" s="20"/>
      <c r="B570" s="20"/>
      <c r="C570" s="20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</row>
    <row r="571" ht="15.75" customHeight="1">
      <c r="A571" s="20"/>
      <c r="B571" s="20"/>
      <c r="C571" s="20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</row>
    <row r="572" ht="15.75" customHeight="1">
      <c r="A572" s="20"/>
      <c r="B572" s="20"/>
      <c r="C572" s="20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</row>
    <row r="573" ht="15.75" customHeight="1">
      <c r="A573" s="20"/>
      <c r="B573" s="20"/>
      <c r="C573" s="20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</row>
    <row r="574" ht="15.75" customHeight="1">
      <c r="A574" s="20"/>
      <c r="B574" s="20"/>
      <c r="C574" s="20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</row>
    <row r="575" ht="15.75" customHeight="1">
      <c r="A575" s="20"/>
      <c r="B575" s="20"/>
      <c r="C575" s="20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</row>
    <row r="576" ht="15.75" customHeight="1">
      <c r="A576" s="20"/>
      <c r="B576" s="20"/>
      <c r="C576" s="20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</row>
    <row r="577" ht="15.75" customHeight="1">
      <c r="A577" s="20"/>
      <c r="B577" s="20"/>
      <c r="C577" s="20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</row>
    <row r="578" ht="15.75" customHeight="1">
      <c r="A578" s="20"/>
      <c r="B578" s="20"/>
      <c r="C578" s="20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</row>
    <row r="579" ht="15.75" customHeight="1">
      <c r="A579" s="20"/>
      <c r="B579" s="20"/>
      <c r="C579" s="20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</row>
    <row r="580" ht="15.75" customHeight="1">
      <c r="A580" s="20"/>
      <c r="B580" s="20"/>
      <c r="C580" s="20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</row>
    <row r="581" ht="15.75" customHeight="1">
      <c r="A581" s="20"/>
      <c r="B581" s="20"/>
      <c r="C581" s="20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</row>
    <row r="582" ht="15.75" customHeight="1">
      <c r="A582" s="20"/>
      <c r="B582" s="20"/>
      <c r="C582" s="20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</row>
    <row r="583" ht="15.75" customHeight="1">
      <c r="A583" s="20"/>
      <c r="B583" s="20"/>
      <c r="C583" s="20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</row>
    <row r="584" ht="15.75" customHeight="1">
      <c r="A584" s="20"/>
      <c r="B584" s="20"/>
      <c r="C584" s="20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</row>
    <row r="585" ht="15.75" customHeight="1">
      <c r="A585" s="20"/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</row>
    <row r="586" ht="15.75" customHeight="1">
      <c r="A586" s="20"/>
      <c r="B586" s="20"/>
      <c r="C586" s="20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</row>
    <row r="587" ht="15.75" customHeight="1">
      <c r="A587" s="20"/>
      <c r="B587" s="20"/>
      <c r="C587" s="20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</row>
    <row r="588" ht="15.75" customHeight="1">
      <c r="A588" s="20"/>
      <c r="B588" s="20"/>
      <c r="C588" s="20"/>
      <c r="D588" s="20"/>
      <c r="E588" s="20"/>
      <c r="F588" s="20"/>
      <c r="G588" s="20"/>
      <c r="H588" s="20"/>
      <c r="I588" s="20"/>
      <c r="J588" s="20"/>
      <c r="K588" s="20"/>
      <c r="L588" s="20"/>
      <c r="M588" s="20"/>
      <c r="N588" s="20"/>
      <c r="O588" s="20"/>
      <c r="P588" s="20"/>
    </row>
    <row r="589" ht="15.75" customHeight="1">
      <c r="A589" s="20"/>
      <c r="B589" s="20"/>
      <c r="C589" s="20"/>
      <c r="D589" s="20"/>
      <c r="E589" s="20"/>
      <c r="F589" s="20"/>
      <c r="G589" s="20"/>
      <c r="H589" s="20"/>
      <c r="I589" s="20"/>
      <c r="J589" s="20"/>
      <c r="K589" s="20"/>
      <c r="L589" s="20"/>
      <c r="M589" s="20"/>
      <c r="N589" s="20"/>
      <c r="O589" s="20"/>
      <c r="P589" s="20"/>
    </row>
    <row r="590" ht="15.75" customHeight="1">
      <c r="A590" s="20"/>
      <c r="B590" s="20"/>
      <c r="C590" s="20"/>
      <c r="D590" s="20"/>
      <c r="E590" s="20"/>
      <c r="F590" s="20"/>
      <c r="G590" s="20"/>
      <c r="H590" s="20"/>
      <c r="I590" s="20"/>
      <c r="J590" s="20"/>
      <c r="K590" s="20"/>
      <c r="L590" s="20"/>
      <c r="M590" s="20"/>
      <c r="N590" s="20"/>
      <c r="O590" s="20"/>
      <c r="P590" s="20"/>
    </row>
    <row r="591" ht="15.75" customHeight="1">
      <c r="A591" s="20"/>
      <c r="B591" s="20"/>
      <c r="C591" s="20"/>
      <c r="D591" s="20"/>
      <c r="E591" s="20"/>
      <c r="F591" s="20"/>
      <c r="G591" s="20"/>
      <c r="H591" s="20"/>
      <c r="I591" s="20"/>
      <c r="J591" s="20"/>
      <c r="K591" s="20"/>
      <c r="L591" s="20"/>
      <c r="M591" s="20"/>
      <c r="N591" s="20"/>
      <c r="O591" s="20"/>
      <c r="P591" s="20"/>
    </row>
    <row r="592" ht="15.75" customHeight="1">
      <c r="A592" s="20"/>
      <c r="B592" s="20"/>
      <c r="C592" s="20"/>
      <c r="D592" s="20"/>
      <c r="E592" s="20"/>
      <c r="F592" s="20"/>
      <c r="G592" s="20"/>
      <c r="H592" s="20"/>
      <c r="I592" s="20"/>
      <c r="J592" s="20"/>
      <c r="K592" s="20"/>
      <c r="L592" s="20"/>
      <c r="M592" s="20"/>
      <c r="N592" s="20"/>
      <c r="O592" s="20"/>
      <c r="P592" s="20"/>
    </row>
    <row r="593" ht="15.75" customHeight="1">
      <c r="A593" s="20"/>
      <c r="B593" s="20"/>
      <c r="C593" s="20"/>
      <c r="D593" s="20"/>
      <c r="E593" s="20"/>
      <c r="F593" s="20"/>
      <c r="G593" s="20"/>
      <c r="H593" s="20"/>
      <c r="I593" s="20"/>
      <c r="J593" s="20"/>
      <c r="K593" s="20"/>
      <c r="L593" s="20"/>
      <c r="M593" s="20"/>
      <c r="N593" s="20"/>
      <c r="O593" s="20"/>
      <c r="P593" s="20"/>
    </row>
    <row r="594" ht="15.75" customHeight="1">
      <c r="A594" s="20"/>
      <c r="B594" s="20"/>
      <c r="C594" s="20"/>
      <c r="D594" s="20"/>
      <c r="E594" s="20"/>
      <c r="F594" s="20"/>
      <c r="G594" s="20"/>
      <c r="H594" s="20"/>
      <c r="I594" s="20"/>
      <c r="J594" s="20"/>
      <c r="K594" s="20"/>
      <c r="L594" s="20"/>
      <c r="M594" s="20"/>
      <c r="N594" s="20"/>
      <c r="O594" s="20"/>
      <c r="P594" s="20"/>
    </row>
    <row r="595" ht="15.75" customHeight="1">
      <c r="A595" s="20"/>
      <c r="B595" s="20"/>
      <c r="C595" s="20"/>
      <c r="D595" s="20"/>
      <c r="E595" s="20"/>
      <c r="F595" s="20"/>
      <c r="G595" s="20"/>
      <c r="H595" s="20"/>
      <c r="I595" s="20"/>
      <c r="J595" s="20"/>
      <c r="K595" s="20"/>
      <c r="L595" s="20"/>
      <c r="M595" s="20"/>
      <c r="N595" s="20"/>
      <c r="O595" s="20"/>
      <c r="P595" s="20"/>
    </row>
    <row r="596" ht="15.75" customHeight="1">
      <c r="A596" s="20"/>
      <c r="B596" s="20"/>
      <c r="C596" s="20"/>
      <c r="D596" s="20"/>
      <c r="E596" s="20"/>
      <c r="F596" s="20"/>
      <c r="G596" s="20"/>
      <c r="H596" s="20"/>
      <c r="I596" s="20"/>
      <c r="J596" s="20"/>
      <c r="K596" s="20"/>
      <c r="L596" s="20"/>
      <c r="M596" s="20"/>
      <c r="N596" s="20"/>
      <c r="O596" s="20"/>
      <c r="P596" s="20"/>
    </row>
    <row r="597" ht="15.75" customHeight="1">
      <c r="A597" s="20"/>
      <c r="B597" s="20"/>
      <c r="C597" s="20"/>
      <c r="D597" s="20"/>
      <c r="E597" s="20"/>
      <c r="F597" s="20"/>
      <c r="G597" s="20"/>
      <c r="H597" s="20"/>
      <c r="I597" s="20"/>
      <c r="J597" s="20"/>
      <c r="K597" s="20"/>
      <c r="L597" s="20"/>
      <c r="M597" s="20"/>
      <c r="N597" s="20"/>
      <c r="O597" s="20"/>
      <c r="P597" s="20"/>
    </row>
    <row r="598" ht="15.75" customHeight="1">
      <c r="A598" s="20"/>
      <c r="B598" s="20"/>
      <c r="C598" s="20"/>
      <c r="D598" s="20"/>
      <c r="E598" s="20"/>
      <c r="F598" s="20"/>
      <c r="G598" s="20"/>
      <c r="H598" s="20"/>
      <c r="I598" s="20"/>
      <c r="J598" s="20"/>
      <c r="K598" s="20"/>
      <c r="L598" s="20"/>
      <c r="M598" s="20"/>
      <c r="N598" s="20"/>
      <c r="O598" s="20"/>
      <c r="P598" s="20"/>
    </row>
    <row r="599" ht="15.75" customHeight="1">
      <c r="A599" s="20"/>
      <c r="B599" s="20"/>
      <c r="C599" s="20"/>
      <c r="D599" s="20"/>
      <c r="E599" s="20"/>
      <c r="F599" s="20"/>
      <c r="G599" s="20"/>
      <c r="H599" s="20"/>
      <c r="I599" s="20"/>
      <c r="J599" s="20"/>
      <c r="K599" s="20"/>
      <c r="L599" s="20"/>
      <c r="M599" s="20"/>
      <c r="N599" s="20"/>
      <c r="O599" s="20"/>
      <c r="P599" s="20"/>
    </row>
    <row r="600" ht="15.75" customHeight="1">
      <c r="A600" s="20"/>
      <c r="B600" s="20"/>
      <c r="C600" s="20"/>
      <c r="D600" s="20"/>
      <c r="E600" s="20"/>
      <c r="F600" s="20"/>
      <c r="G600" s="20"/>
      <c r="H600" s="20"/>
      <c r="I600" s="20"/>
      <c r="J600" s="20"/>
      <c r="K600" s="20"/>
      <c r="L600" s="20"/>
      <c r="M600" s="20"/>
      <c r="N600" s="20"/>
      <c r="O600" s="20"/>
      <c r="P600" s="20"/>
    </row>
    <row r="601" ht="15.75" customHeight="1">
      <c r="A601" s="20"/>
      <c r="B601" s="20"/>
      <c r="C601" s="20"/>
      <c r="D601" s="20"/>
      <c r="E601" s="20"/>
      <c r="F601" s="20"/>
      <c r="G601" s="20"/>
      <c r="H601" s="20"/>
      <c r="I601" s="20"/>
      <c r="J601" s="20"/>
      <c r="K601" s="20"/>
      <c r="L601" s="20"/>
      <c r="M601" s="20"/>
      <c r="N601" s="20"/>
      <c r="O601" s="20"/>
      <c r="P601" s="20"/>
    </row>
    <row r="602" ht="15.75" customHeight="1">
      <c r="A602" s="20"/>
      <c r="B602" s="20"/>
      <c r="C602" s="20"/>
      <c r="D602" s="20"/>
      <c r="E602" s="20"/>
      <c r="F602" s="20"/>
      <c r="G602" s="20"/>
      <c r="H602" s="20"/>
      <c r="I602" s="20"/>
      <c r="J602" s="20"/>
      <c r="K602" s="20"/>
      <c r="L602" s="20"/>
      <c r="M602" s="20"/>
      <c r="N602" s="20"/>
      <c r="O602" s="20"/>
      <c r="P602" s="20"/>
    </row>
    <row r="603" ht="15.75" customHeight="1">
      <c r="A603" s="20"/>
      <c r="B603" s="20"/>
      <c r="C603" s="20"/>
      <c r="D603" s="20"/>
      <c r="E603" s="20"/>
      <c r="F603" s="20"/>
      <c r="G603" s="20"/>
      <c r="H603" s="20"/>
      <c r="I603" s="20"/>
      <c r="J603" s="20"/>
      <c r="K603" s="20"/>
      <c r="L603" s="20"/>
      <c r="M603" s="20"/>
      <c r="N603" s="20"/>
      <c r="O603" s="20"/>
      <c r="P603" s="20"/>
    </row>
    <row r="604" ht="15.75" customHeight="1">
      <c r="A604" s="20"/>
      <c r="B604" s="20"/>
      <c r="C604" s="20"/>
      <c r="D604" s="20"/>
      <c r="E604" s="20"/>
      <c r="F604" s="20"/>
      <c r="G604" s="20"/>
      <c r="H604" s="20"/>
      <c r="I604" s="20"/>
      <c r="J604" s="20"/>
      <c r="K604" s="20"/>
      <c r="L604" s="20"/>
      <c r="M604" s="20"/>
      <c r="N604" s="20"/>
      <c r="O604" s="20"/>
      <c r="P604" s="20"/>
    </row>
    <row r="605" ht="15.75" customHeight="1">
      <c r="A605" s="20"/>
      <c r="B605" s="20"/>
      <c r="C605" s="20"/>
      <c r="D605" s="20"/>
      <c r="E605" s="20"/>
      <c r="F605" s="20"/>
      <c r="G605" s="20"/>
      <c r="H605" s="20"/>
      <c r="I605" s="20"/>
      <c r="J605" s="20"/>
      <c r="K605" s="20"/>
      <c r="L605" s="20"/>
      <c r="M605" s="20"/>
      <c r="N605" s="20"/>
      <c r="O605" s="20"/>
      <c r="P605" s="20"/>
    </row>
    <row r="606" ht="15.75" customHeight="1">
      <c r="A606" s="20"/>
      <c r="B606" s="20"/>
      <c r="C606" s="20"/>
      <c r="D606" s="20"/>
      <c r="E606" s="20"/>
      <c r="F606" s="20"/>
      <c r="G606" s="20"/>
      <c r="H606" s="20"/>
      <c r="I606" s="20"/>
      <c r="J606" s="20"/>
      <c r="K606" s="20"/>
      <c r="L606" s="20"/>
      <c r="M606" s="20"/>
      <c r="N606" s="20"/>
      <c r="O606" s="20"/>
      <c r="P606" s="20"/>
    </row>
    <row r="607" ht="15.75" customHeight="1">
      <c r="A607" s="20"/>
      <c r="B607" s="20"/>
      <c r="C607" s="20"/>
      <c r="D607" s="20"/>
      <c r="E607" s="20"/>
      <c r="F607" s="20"/>
      <c r="G607" s="20"/>
      <c r="H607" s="20"/>
      <c r="I607" s="20"/>
      <c r="J607" s="20"/>
      <c r="K607" s="20"/>
      <c r="L607" s="20"/>
      <c r="M607" s="20"/>
      <c r="N607" s="20"/>
      <c r="O607" s="20"/>
      <c r="P607" s="20"/>
    </row>
    <row r="608" ht="15.75" customHeight="1">
      <c r="A608" s="20"/>
      <c r="B608" s="20"/>
      <c r="C608" s="20"/>
      <c r="D608" s="20"/>
      <c r="E608" s="20"/>
      <c r="F608" s="20"/>
      <c r="G608" s="20"/>
      <c r="H608" s="20"/>
      <c r="I608" s="20"/>
      <c r="J608" s="20"/>
      <c r="K608" s="20"/>
      <c r="L608" s="20"/>
      <c r="M608" s="20"/>
      <c r="N608" s="20"/>
      <c r="O608" s="20"/>
      <c r="P608" s="20"/>
    </row>
    <row r="609" ht="15.75" customHeight="1">
      <c r="A609" s="20"/>
      <c r="B609" s="20"/>
      <c r="C609" s="20"/>
      <c r="D609" s="20"/>
      <c r="E609" s="20"/>
      <c r="F609" s="20"/>
      <c r="G609" s="20"/>
      <c r="H609" s="20"/>
      <c r="I609" s="20"/>
      <c r="J609" s="20"/>
      <c r="K609" s="20"/>
      <c r="L609" s="20"/>
      <c r="M609" s="20"/>
      <c r="N609" s="20"/>
      <c r="O609" s="20"/>
      <c r="P609" s="20"/>
    </row>
    <row r="610" ht="15.75" customHeight="1">
      <c r="A610" s="20"/>
      <c r="B610" s="20"/>
      <c r="C610" s="20"/>
      <c r="D610" s="20"/>
      <c r="E610" s="20"/>
      <c r="F610" s="20"/>
      <c r="G610" s="20"/>
      <c r="H610" s="20"/>
      <c r="I610" s="20"/>
      <c r="J610" s="20"/>
      <c r="K610" s="20"/>
      <c r="L610" s="20"/>
      <c r="M610" s="20"/>
      <c r="N610" s="20"/>
      <c r="O610" s="20"/>
      <c r="P610" s="20"/>
    </row>
    <row r="611" ht="15.75" customHeight="1">
      <c r="A611" s="20"/>
      <c r="B611" s="20"/>
      <c r="C611" s="20"/>
      <c r="D611" s="20"/>
      <c r="E611" s="20"/>
      <c r="F611" s="20"/>
      <c r="G611" s="20"/>
      <c r="H611" s="20"/>
      <c r="I611" s="20"/>
      <c r="J611" s="20"/>
      <c r="K611" s="20"/>
      <c r="L611" s="20"/>
      <c r="M611" s="20"/>
      <c r="N611" s="20"/>
      <c r="O611" s="20"/>
      <c r="P611" s="20"/>
    </row>
    <row r="612" ht="15.75" customHeight="1">
      <c r="A612" s="20"/>
      <c r="B612" s="20"/>
      <c r="C612" s="20"/>
      <c r="D612" s="20"/>
      <c r="E612" s="20"/>
      <c r="F612" s="20"/>
      <c r="G612" s="20"/>
      <c r="H612" s="20"/>
      <c r="I612" s="20"/>
      <c r="J612" s="20"/>
      <c r="K612" s="20"/>
      <c r="L612" s="20"/>
      <c r="M612" s="20"/>
      <c r="N612" s="20"/>
      <c r="O612" s="20"/>
      <c r="P612" s="20"/>
    </row>
    <row r="613" ht="15.75" customHeight="1">
      <c r="A613" s="20"/>
      <c r="B613" s="20"/>
      <c r="C613" s="20"/>
      <c r="D613" s="20"/>
      <c r="E613" s="20"/>
      <c r="F613" s="20"/>
      <c r="G613" s="20"/>
      <c r="H613" s="20"/>
      <c r="I613" s="20"/>
      <c r="J613" s="20"/>
      <c r="K613" s="20"/>
      <c r="L613" s="20"/>
      <c r="M613" s="20"/>
      <c r="N613" s="20"/>
      <c r="O613" s="20"/>
      <c r="P613" s="20"/>
    </row>
    <row r="614" ht="15.75" customHeight="1">
      <c r="A614" s="20"/>
      <c r="B614" s="20"/>
      <c r="C614" s="20"/>
      <c r="D614" s="20"/>
      <c r="E614" s="20"/>
      <c r="F614" s="20"/>
      <c r="G614" s="20"/>
      <c r="H614" s="20"/>
      <c r="I614" s="20"/>
      <c r="J614" s="20"/>
      <c r="K614" s="20"/>
      <c r="L614" s="20"/>
      <c r="M614" s="20"/>
      <c r="N614" s="20"/>
      <c r="O614" s="20"/>
      <c r="P614" s="20"/>
    </row>
    <row r="615" ht="15.75" customHeight="1">
      <c r="A615" s="20"/>
      <c r="B615" s="20"/>
      <c r="C615" s="20"/>
      <c r="D615" s="20"/>
      <c r="E615" s="20"/>
      <c r="F615" s="20"/>
      <c r="G615" s="20"/>
      <c r="H615" s="20"/>
      <c r="I615" s="20"/>
      <c r="J615" s="20"/>
      <c r="K615" s="20"/>
      <c r="L615" s="20"/>
      <c r="M615" s="20"/>
      <c r="N615" s="20"/>
      <c r="O615" s="20"/>
      <c r="P615" s="20"/>
    </row>
    <row r="616" ht="15.75" customHeight="1">
      <c r="A616" s="20"/>
      <c r="B616" s="20"/>
      <c r="C616" s="20"/>
      <c r="D616" s="20"/>
      <c r="E616" s="20"/>
      <c r="F616" s="20"/>
      <c r="G616" s="20"/>
      <c r="H616" s="20"/>
      <c r="I616" s="20"/>
      <c r="J616" s="20"/>
      <c r="K616" s="20"/>
      <c r="L616" s="20"/>
      <c r="M616" s="20"/>
      <c r="N616" s="20"/>
      <c r="O616" s="20"/>
      <c r="P616" s="20"/>
    </row>
    <row r="617" ht="15.75" customHeight="1">
      <c r="A617" s="20"/>
      <c r="B617" s="20"/>
      <c r="C617" s="20"/>
      <c r="D617" s="20"/>
      <c r="E617" s="20"/>
      <c r="F617" s="20"/>
      <c r="G617" s="20"/>
      <c r="H617" s="20"/>
      <c r="I617" s="20"/>
      <c r="J617" s="20"/>
      <c r="K617" s="20"/>
      <c r="L617" s="20"/>
      <c r="M617" s="20"/>
      <c r="N617" s="20"/>
      <c r="O617" s="20"/>
      <c r="P617" s="20"/>
    </row>
    <row r="618" ht="15.75" customHeight="1">
      <c r="A618" s="20"/>
      <c r="B618" s="20"/>
      <c r="C618" s="20"/>
      <c r="D618" s="20"/>
      <c r="E618" s="20"/>
      <c r="F618" s="20"/>
      <c r="G618" s="20"/>
      <c r="H618" s="20"/>
      <c r="I618" s="20"/>
      <c r="J618" s="20"/>
      <c r="K618" s="20"/>
      <c r="L618" s="20"/>
      <c r="M618" s="20"/>
      <c r="N618" s="20"/>
      <c r="O618" s="20"/>
      <c r="P618" s="20"/>
    </row>
    <row r="619" ht="15.75" customHeight="1">
      <c r="A619" s="20"/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</row>
    <row r="620" ht="15.75" customHeight="1">
      <c r="A620" s="20"/>
      <c r="B620" s="20"/>
      <c r="C620" s="20"/>
      <c r="D620" s="20"/>
      <c r="E620" s="20"/>
      <c r="F620" s="20"/>
      <c r="G620" s="20"/>
      <c r="H620" s="20"/>
      <c r="I620" s="20"/>
      <c r="J620" s="20"/>
      <c r="K620" s="20"/>
      <c r="L620" s="20"/>
      <c r="M620" s="20"/>
      <c r="N620" s="20"/>
      <c r="O620" s="20"/>
      <c r="P620" s="20"/>
    </row>
    <row r="621" ht="15.75" customHeight="1">
      <c r="A621" s="20"/>
      <c r="B621" s="20"/>
      <c r="C621" s="20"/>
      <c r="D621" s="20"/>
      <c r="E621" s="20"/>
      <c r="F621" s="20"/>
      <c r="G621" s="20"/>
      <c r="H621" s="20"/>
      <c r="I621" s="20"/>
      <c r="J621" s="20"/>
      <c r="K621" s="20"/>
      <c r="L621" s="20"/>
      <c r="M621" s="20"/>
      <c r="N621" s="20"/>
      <c r="O621" s="20"/>
      <c r="P621" s="20"/>
    </row>
    <row r="622" ht="15.75" customHeight="1">
      <c r="A622" s="20"/>
      <c r="B622" s="20"/>
      <c r="C622" s="20"/>
      <c r="D622" s="20"/>
      <c r="E622" s="20"/>
      <c r="F622" s="20"/>
      <c r="G622" s="20"/>
      <c r="H622" s="20"/>
      <c r="I622" s="20"/>
      <c r="J622" s="20"/>
      <c r="K622" s="20"/>
      <c r="L622" s="20"/>
      <c r="M622" s="20"/>
      <c r="N622" s="20"/>
      <c r="O622" s="20"/>
      <c r="P622" s="20"/>
    </row>
    <row r="623" ht="15.75" customHeight="1">
      <c r="A623" s="20"/>
      <c r="B623" s="20"/>
      <c r="C623" s="20"/>
      <c r="D623" s="20"/>
      <c r="E623" s="20"/>
      <c r="F623" s="20"/>
      <c r="G623" s="20"/>
      <c r="H623" s="20"/>
      <c r="I623" s="20"/>
      <c r="J623" s="20"/>
      <c r="K623" s="20"/>
      <c r="L623" s="20"/>
      <c r="M623" s="20"/>
      <c r="N623" s="20"/>
      <c r="O623" s="20"/>
      <c r="P623" s="20"/>
    </row>
    <row r="624" ht="15.75" customHeight="1">
      <c r="A624" s="20"/>
      <c r="B624" s="20"/>
      <c r="C624" s="20"/>
      <c r="D624" s="20"/>
      <c r="E624" s="20"/>
      <c r="F624" s="20"/>
      <c r="G624" s="20"/>
      <c r="H624" s="20"/>
      <c r="I624" s="20"/>
      <c r="J624" s="20"/>
      <c r="K624" s="20"/>
      <c r="L624" s="20"/>
      <c r="M624" s="20"/>
      <c r="N624" s="20"/>
      <c r="O624" s="20"/>
      <c r="P624" s="20"/>
    </row>
    <row r="625" ht="15.75" customHeight="1">
      <c r="A625" s="20"/>
      <c r="B625" s="20"/>
      <c r="C625" s="20"/>
      <c r="D625" s="20"/>
      <c r="E625" s="20"/>
      <c r="F625" s="20"/>
      <c r="G625" s="20"/>
      <c r="H625" s="20"/>
      <c r="I625" s="20"/>
      <c r="J625" s="20"/>
      <c r="K625" s="20"/>
      <c r="L625" s="20"/>
      <c r="M625" s="20"/>
      <c r="N625" s="20"/>
      <c r="O625" s="20"/>
      <c r="P625" s="20"/>
    </row>
    <row r="626" ht="15.75" customHeight="1">
      <c r="A626" s="20"/>
      <c r="B626" s="20"/>
      <c r="C626" s="20"/>
      <c r="D626" s="20"/>
      <c r="E626" s="20"/>
      <c r="F626" s="20"/>
      <c r="G626" s="20"/>
      <c r="H626" s="20"/>
      <c r="I626" s="20"/>
      <c r="J626" s="20"/>
      <c r="K626" s="20"/>
      <c r="L626" s="20"/>
      <c r="M626" s="20"/>
      <c r="N626" s="20"/>
      <c r="O626" s="20"/>
      <c r="P626" s="20"/>
    </row>
    <row r="627" ht="15.75" customHeight="1">
      <c r="A627" s="20"/>
      <c r="B627" s="20"/>
      <c r="C627" s="20"/>
      <c r="D627" s="20"/>
      <c r="E627" s="20"/>
      <c r="F627" s="20"/>
      <c r="G627" s="20"/>
      <c r="H627" s="20"/>
      <c r="I627" s="20"/>
      <c r="J627" s="20"/>
      <c r="K627" s="20"/>
      <c r="L627" s="20"/>
      <c r="M627" s="20"/>
      <c r="N627" s="20"/>
      <c r="O627" s="20"/>
      <c r="P627" s="20"/>
    </row>
    <row r="628" ht="15.75" customHeight="1">
      <c r="A628" s="20"/>
      <c r="B628" s="20"/>
      <c r="C628" s="20"/>
      <c r="D628" s="20"/>
      <c r="E628" s="20"/>
      <c r="F628" s="20"/>
      <c r="G628" s="20"/>
      <c r="H628" s="20"/>
      <c r="I628" s="20"/>
      <c r="J628" s="20"/>
      <c r="K628" s="20"/>
      <c r="L628" s="20"/>
      <c r="M628" s="20"/>
      <c r="N628" s="20"/>
      <c r="O628" s="20"/>
      <c r="P628" s="20"/>
    </row>
    <row r="629" ht="15.75" customHeight="1">
      <c r="A629" s="20"/>
      <c r="B629" s="20"/>
      <c r="C629" s="20"/>
      <c r="D629" s="20"/>
      <c r="E629" s="20"/>
      <c r="F629" s="20"/>
      <c r="G629" s="20"/>
      <c r="H629" s="20"/>
      <c r="I629" s="20"/>
      <c r="J629" s="20"/>
      <c r="K629" s="20"/>
      <c r="L629" s="20"/>
      <c r="M629" s="20"/>
      <c r="N629" s="20"/>
      <c r="O629" s="20"/>
      <c r="P629" s="20"/>
    </row>
    <row r="630" ht="15.75" customHeight="1">
      <c r="A630" s="20"/>
      <c r="B630" s="20"/>
      <c r="C630" s="20"/>
      <c r="D630" s="20"/>
      <c r="E630" s="20"/>
      <c r="F630" s="20"/>
      <c r="G630" s="20"/>
      <c r="H630" s="20"/>
      <c r="I630" s="20"/>
      <c r="J630" s="20"/>
      <c r="K630" s="20"/>
      <c r="L630" s="20"/>
      <c r="M630" s="20"/>
      <c r="N630" s="20"/>
      <c r="O630" s="20"/>
      <c r="P630" s="20"/>
    </row>
    <row r="631" ht="15.75" customHeight="1">
      <c r="A631" s="20"/>
      <c r="B631" s="20"/>
      <c r="C631" s="20"/>
      <c r="D631" s="20"/>
      <c r="E631" s="20"/>
      <c r="F631" s="20"/>
      <c r="G631" s="20"/>
      <c r="H631" s="20"/>
      <c r="I631" s="20"/>
      <c r="J631" s="20"/>
      <c r="K631" s="20"/>
      <c r="L631" s="20"/>
      <c r="M631" s="20"/>
      <c r="N631" s="20"/>
      <c r="O631" s="20"/>
      <c r="P631" s="20"/>
    </row>
    <row r="632" ht="15.75" customHeight="1">
      <c r="A632" s="20"/>
      <c r="B632" s="20"/>
      <c r="C632" s="20"/>
      <c r="D632" s="20"/>
      <c r="E632" s="20"/>
      <c r="F632" s="20"/>
      <c r="G632" s="20"/>
      <c r="H632" s="20"/>
      <c r="I632" s="20"/>
      <c r="J632" s="20"/>
      <c r="K632" s="20"/>
      <c r="L632" s="20"/>
      <c r="M632" s="20"/>
      <c r="N632" s="20"/>
      <c r="O632" s="20"/>
      <c r="P632" s="20"/>
    </row>
    <row r="633" ht="15.75" customHeight="1">
      <c r="A633" s="20"/>
      <c r="B633" s="20"/>
      <c r="C633" s="20"/>
      <c r="D633" s="20"/>
      <c r="E633" s="20"/>
      <c r="F633" s="20"/>
      <c r="G633" s="20"/>
      <c r="H633" s="20"/>
      <c r="I633" s="20"/>
      <c r="J633" s="20"/>
      <c r="K633" s="20"/>
      <c r="L633" s="20"/>
      <c r="M633" s="20"/>
      <c r="N633" s="20"/>
      <c r="O633" s="20"/>
      <c r="P633" s="20"/>
    </row>
    <row r="634" ht="15.75" customHeight="1">
      <c r="A634" s="20"/>
      <c r="B634" s="20"/>
      <c r="C634" s="20"/>
      <c r="D634" s="20"/>
      <c r="E634" s="20"/>
      <c r="F634" s="20"/>
      <c r="G634" s="20"/>
      <c r="H634" s="20"/>
      <c r="I634" s="20"/>
      <c r="J634" s="20"/>
      <c r="K634" s="20"/>
      <c r="L634" s="20"/>
      <c r="M634" s="20"/>
      <c r="N634" s="20"/>
      <c r="O634" s="20"/>
      <c r="P634" s="20"/>
    </row>
    <row r="635" ht="15.75" customHeight="1">
      <c r="A635" s="20"/>
      <c r="B635" s="20"/>
      <c r="C635" s="20"/>
      <c r="D635" s="20"/>
      <c r="E635" s="20"/>
      <c r="F635" s="20"/>
      <c r="G635" s="20"/>
      <c r="H635" s="20"/>
      <c r="I635" s="20"/>
      <c r="J635" s="20"/>
      <c r="K635" s="20"/>
      <c r="L635" s="20"/>
      <c r="M635" s="20"/>
      <c r="N635" s="20"/>
      <c r="O635" s="20"/>
      <c r="P635" s="20"/>
    </row>
    <row r="636" ht="15.75" customHeight="1">
      <c r="A636" s="20"/>
      <c r="B636" s="20"/>
      <c r="C636" s="20"/>
      <c r="D636" s="20"/>
      <c r="E636" s="20"/>
      <c r="F636" s="20"/>
      <c r="G636" s="20"/>
      <c r="H636" s="20"/>
      <c r="I636" s="20"/>
      <c r="J636" s="20"/>
      <c r="K636" s="20"/>
      <c r="L636" s="20"/>
      <c r="M636" s="20"/>
      <c r="N636" s="20"/>
      <c r="O636" s="20"/>
      <c r="P636" s="20"/>
    </row>
    <row r="637" ht="15.75" customHeight="1">
      <c r="A637" s="20"/>
      <c r="B637" s="20"/>
      <c r="C637" s="20"/>
      <c r="D637" s="20"/>
      <c r="E637" s="20"/>
      <c r="F637" s="20"/>
      <c r="G637" s="20"/>
      <c r="H637" s="20"/>
      <c r="I637" s="20"/>
      <c r="J637" s="20"/>
      <c r="K637" s="20"/>
      <c r="L637" s="20"/>
      <c r="M637" s="20"/>
      <c r="N637" s="20"/>
      <c r="O637" s="20"/>
      <c r="P637" s="20"/>
    </row>
    <row r="638" ht="15.75" customHeight="1">
      <c r="A638" s="20"/>
      <c r="B638" s="20"/>
      <c r="C638" s="20"/>
      <c r="D638" s="20"/>
      <c r="E638" s="20"/>
      <c r="F638" s="20"/>
      <c r="G638" s="20"/>
      <c r="H638" s="20"/>
      <c r="I638" s="20"/>
      <c r="J638" s="20"/>
      <c r="K638" s="20"/>
      <c r="L638" s="20"/>
      <c r="M638" s="20"/>
      <c r="N638" s="20"/>
      <c r="O638" s="20"/>
      <c r="P638" s="20"/>
    </row>
    <row r="639" ht="15.75" customHeight="1">
      <c r="A639" s="20"/>
      <c r="B639" s="20"/>
      <c r="C639" s="20"/>
      <c r="D639" s="20"/>
      <c r="E639" s="20"/>
      <c r="F639" s="20"/>
      <c r="G639" s="20"/>
      <c r="H639" s="20"/>
      <c r="I639" s="20"/>
      <c r="J639" s="20"/>
      <c r="K639" s="20"/>
      <c r="L639" s="20"/>
      <c r="M639" s="20"/>
      <c r="N639" s="20"/>
      <c r="O639" s="20"/>
      <c r="P639" s="20"/>
    </row>
    <row r="640" ht="15.75" customHeight="1">
      <c r="A640" s="20"/>
      <c r="B640" s="20"/>
      <c r="C640" s="20"/>
      <c r="D640" s="20"/>
      <c r="E640" s="20"/>
      <c r="F640" s="20"/>
      <c r="G640" s="20"/>
      <c r="H640" s="20"/>
      <c r="I640" s="20"/>
      <c r="J640" s="20"/>
      <c r="K640" s="20"/>
      <c r="L640" s="20"/>
      <c r="M640" s="20"/>
      <c r="N640" s="20"/>
      <c r="O640" s="20"/>
      <c r="P640" s="20"/>
    </row>
    <row r="641" ht="15.75" customHeight="1">
      <c r="A641" s="20"/>
      <c r="B641" s="20"/>
      <c r="C641" s="20"/>
      <c r="D641" s="20"/>
      <c r="E641" s="20"/>
      <c r="F641" s="20"/>
      <c r="G641" s="20"/>
      <c r="H641" s="20"/>
      <c r="I641" s="20"/>
      <c r="J641" s="20"/>
      <c r="K641" s="20"/>
      <c r="L641" s="20"/>
      <c r="M641" s="20"/>
      <c r="N641" s="20"/>
      <c r="O641" s="20"/>
      <c r="P641" s="20"/>
    </row>
    <row r="642" ht="15.75" customHeight="1">
      <c r="A642" s="20"/>
      <c r="B642" s="20"/>
      <c r="C642" s="20"/>
      <c r="D642" s="20"/>
      <c r="E642" s="20"/>
      <c r="F642" s="20"/>
      <c r="G642" s="20"/>
      <c r="H642" s="20"/>
      <c r="I642" s="20"/>
      <c r="J642" s="20"/>
      <c r="K642" s="20"/>
      <c r="L642" s="20"/>
      <c r="M642" s="20"/>
      <c r="N642" s="20"/>
      <c r="O642" s="20"/>
      <c r="P642" s="20"/>
    </row>
    <row r="643" ht="15.75" customHeight="1">
      <c r="A643" s="20"/>
      <c r="B643" s="20"/>
      <c r="C643" s="20"/>
      <c r="D643" s="20"/>
      <c r="E643" s="20"/>
      <c r="F643" s="20"/>
      <c r="G643" s="20"/>
      <c r="H643" s="20"/>
      <c r="I643" s="20"/>
      <c r="J643" s="20"/>
      <c r="K643" s="20"/>
      <c r="L643" s="20"/>
      <c r="M643" s="20"/>
      <c r="N643" s="20"/>
      <c r="O643" s="20"/>
      <c r="P643" s="20"/>
    </row>
    <row r="644" ht="15.75" customHeight="1">
      <c r="A644" s="20"/>
      <c r="B644" s="20"/>
      <c r="C644" s="20"/>
      <c r="D644" s="20"/>
      <c r="E644" s="20"/>
      <c r="F644" s="20"/>
      <c r="G644" s="20"/>
      <c r="H644" s="20"/>
      <c r="I644" s="20"/>
      <c r="J644" s="20"/>
      <c r="K644" s="20"/>
      <c r="L644" s="20"/>
      <c r="M644" s="20"/>
      <c r="N644" s="20"/>
      <c r="O644" s="20"/>
      <c r="P644" s="20"/>
    </row>
    <row r="645" ht="15.75" customHeight="1">
      <c r="A645" s="20"/>
      <c r="B645" s="20"/>
      <c r="C645" s="20"/>
      <c r="D645" s="20"/>
      <c r="E645" s="20"/>
      <c r="F645" s="20"/>
      <c r="G645" s="20"/>
      <c r="H645" s="20"/>
      <c r="I645" s="20"/>
      <c r="J645" s="20"/>
      <c r="K645" s="20"/>
      <c r="L645" s="20"/>
      <c r="M645" s="20"/>
      <c r="N645" s="20"/>
      <c r="O645" s="20"/>
      <c r="P645" s="20"/>
    </row>
    <row r="646" ht="15.75" customHeight="1">
      <c r="A646" s="20"/>
      <c r="B646" s="20"/>
      <c r="C646" s="20"/>
      <c r="D646" s="20"/>
      <c r="E646" s="20"/>
      <c r="F646" s="20"/>
      <c r="G646" s="20"/>
      <c r="H646" s="20"/>
      <c r="I646" s="20"/>
      <c r="J646" s="20"/>
      <c r="K646" s="20"/>
      <c r="L646" s="20"/>
      <c r="M646" s="20"/>
      <c r="N646" s="20"/>
      <c r="O646" s="20"/>
      <c r="P646" s="20"/>
    </row>
    <row r="647" ht="15.75" customHeight="1">
      <c r="A647" s="20"/>
      <c r="B647" s="20"/>
      <c r="C647" s="20"/>
      <c r="D647" s="20"/>
      <c r="E647" s="20"/>
      <c r="F647" s="20"/>
      <c r="G647" s="20"/>
      <c r="H647" s="20"/>
      <c r="I647" s="20"/>
      <c r="J647" s="20"/>
      <c r="K647" s="20"/>
      <c r="L647" s="20"/>
      <c r="M647" s="20"/>
      <c r="N647" s="20"/>
      <c r="O647" s="20"/>
      <c r="P647" s="20"/>
    </row>
    <row r="648" ht="15.75" customHeight="1">
      <c r="A648" s="20"/>
      <c r="B648" s="20"/>
      <c r="C648" s="20"/>
      <c r="D648" s="20"/>
      <c r="E648" s="20"/>
      <c r="F648" s="20"/>
      <c r="G648" s="20"/>
      <c r="H648" s="20"/>
      <c r="I648" s="20"/>
      <c r="J648" s="20"/>
      <c r="K648" s="20"/>
      <c r="L648" s="20"/>
      <c r="M648" s="20"/>
      <c r="N648" s="20"/>
      <c r="O648" s="20"/>
      <c r="P648" s="20"/>
    </row>
    <row r="649" ht="15.75" customHeight="1">
      <c r="A649" s="20"/>
      <c r="B649" s="20"/>
      <c r="C649" s="20"/>
      <c r="D649" s="20"/>
      <c r="E649" s="20"/>
      <c r="F649" s="20"/>
      <c r="G649" s="20"/>
      <c r="H649" s="20"/>
      <c r="I649" s="20"/>
      <c r="J649" s="20"/>
      <c r="K649" s="20"/>
      <c r="L649" s="20"/>
      <c r="M649" s="20"/>
      <c r="N649" s="20"/>
      <c r="O649" s="20"/>
      <c r="P649" s="20"/>
    </row>
    <row r="650" ht="15.75" customHeight="1">
      <c r="A650" s="20"/>
      <c r="B650" s="20"/>
      <c r="C650" s="20"/>
      <c r="D650" s="20"/>
      <c r="E650" s="20"/>
      <c r="F650" s="20"/>
      <c r="G650" s="20"/>
      <c r="H650" s="20"/>
      <c r="I650" s="20"/>
      <c r="J650" s="20"/>
      <c r="K650" s="20"/>
      <c r="L650" s="20"/>
      <c r="M650" s="20"/>
      <c r="N650" s="20"/>
      <c r="O650" s="20"/>
      <c r="P650" s="20"/>
    </row>
    <row r="651" ht="15.75" customHeight="1">
      <c r="A651" s="20"/>
      <c r="B651" s="20"/>
      <c r="C651" s="20"/>
      <c r="D651" s="20"/>
      <c r="E651" s="20"/>
      <c r="F651" s="20"/>
      <c r="G651" s="20"/>
      <c r="H651" s="20"/>
      <c r="I651" s="20"/>
      <c r="J651" s="20"/>
      <c r="K651" s="20"/>
      <c r="L651" s="20"/>
      <c r="M651" s="20"/>
      <c r="N651" s="20"/>
      <c r="O651" s="20"/>
      <c r="P651" s="20"/>
    </row>
    <row r="652" ht="15.75" customHeight="1">
      <c r="A652" s="20"/>
      <c r="B652" s="20"/>
      <c r="C652" s="20"/>
      <c r="D652" s="20"/>
      <c r="E652" s="20"/>
      <c r="F652" s="20"/>
      <c r="G652" s="20"/>
      <c r="H652" s="20"/>
      <c r="I652" s="20"/>
      <c r="J652" s="20"/>
      <c r="K652" s="20"/>
      <c r="L652" s="20"/>
      <c r="M652" s="20"/>
      <c r="N652" s="20"/>
      <c r="O652" s="20"/>
      <c r="P652" s="20"/>
    </row>
    <row r="653" ht="15.75" customHeight="1">
      <c r="A653" s="20"/>
      <c r="B653" s="20"/>
      <c r="C653" s="20"/>
      <c r="D653" s="20"/>
      <c r="E653" s="20"/>
      <c r="F653" s="20"/>
      <c r="G653" s="20"/>
      <c r="H653" s="20"/>
      <c r="I653" s="20"/>
      <c r="J653" s="20"/>
      <c r="K653" s="20"/>
      <c r="L653" s="20"/>
      <c r="M653" s="20"/>
      <c r="N653" s="20"/>
      <c r="O653" s="20"/>
      <c r="P653" s="20"/>
    </row>
    <row r="654" ht="15.75" customHeight="1">
      <c r="A654" s="20"/>
      <c r="B654" s="20"/>
      <c r="C654" s="20"/>
      <c r="D654" s="20"/>
      <c r="E654" s="20"/>
      <c r="F654" s="20"/>
      <c r="G654" s="20"/>
      <c r="H654" s="20"/>
      <c r="I654" s="20"/>
      <c r="J654" s="20"/>
      <c r="K654" s="20"/>
      <c r="L654" s="20"/>
      <c r="M654" s="20"/>
      <c r="N654" s="20"/>
      <c r="O654" s="20"/>
      <c r="P654" s="20"/>
    </row>
    <row r="655" ht="15.75" customHeight="1">
      <c r="A655" s="20"/>
      <c r="B655" s="20"/>
      <c r="C655" s="20"/>
      <c r="D655" s="20"/>
      <c r="E655" s="20"/>
      <c r="F655" s="20"/>
      <c r="G655" s="20"/>
      <c r="H655" s="20"/>
      <c r="I655" s="20"/>
      <c r="J655" s="20"/>
      <c r="K655" s="20"/>
      <c r="L655" s="20"/>
      <c r="M655" s="20"/>
      <c r="N655" s="20"/>
      <c r="O655" s="20"/>
      <c r="P655" s="20"/>
    </row>
    <row r="656" ht="15.75" customHeight="1">
      <c r="A656" s="20"/>
      <c r="B656" s="20"/>
      <c r="C656" s="20"/>
      <c r="D656" s="20"/>
      <c r="E656" s="20"/>
      <c r="F656" s="20"/>
      <c r="G656" s="20"/>
      <c r="H656" s="20"/>
      <c r="I656" s="20"/>
      <c r="J656" s="20"/>
      <c r="K656" s="20"/>
      <c r="L656" s="20"/>
      <c r="M656" s="20"/>
      <c r="N656" s="20"/>
      <c r="O656" s="20"/>
      <c r="P656" s="20"/>
    </row>
    <row r="657" ht="15.75" customHeight="1">
      <c r="A657" s="20"/>
      <c r="B657" s="20"/>
      <c r="C657" s="20"/>
      <c r="D657" s="20"/>
      <c r="E657" s="20"/>
      <c r="F657" s="20"/>
      <c r="G657" s="20"/>
      <c r="H657" s="20"/>
      <c r="I657" s="20"/>
      <c r="J657" s="20"/>
      <c r="K657" s="20"/>
      <c r="L657" s="20"/>
      <c r="M657" s="20"/>
      <c r="N657" s="20"/>
      <c r="O657" s="20"/>
      <c r="P657" s="20"/>
    </row>
    <row r="658" ht="15.75" customHeight="1">
      <c r="A658" s="20"/>
      <c r="B658" s="20"/>
      <c r="C658" s="20"/>
      <c r="D658" s="20"/>
      <c r="E658" s="20"/>
      <c r="F658" s="20"/>
      <c r="G658" s="20"/>
      <c r="H658" s="20"/>
      <c r="I658" s="20"/>
      <c r="J658" s="20"/>
      <c r="K658" s="20"/>
      <c r="L658" s="20"/>
      <c r="M658" s="20"/>
      <c r="N658" s="20"/>
      <c r="O658" s="20"/>
      <c r="P658" s="20"/>
    </row>
    <row r="659" ht="15.75" customHeight="1">
      <c r="A659" s="20"/>
      <c r="B659" s="20"/>
      <c r="C659" s="20"/>
      <c r="D659" s="20"/>
      <c r="E659" s="20"/>
      <c r="F659" s="20"/>
      <c r="G659" s="20"/>
      <c r="H659" s="20"/>
      <c r="I659" s="20"/>
      <c r="J659" s="20"/>
      <c r="K659" s="20"/>
      <c r="L659" s="20"/>
      <c r="M659" s="20"/>
      <c r="N659" s="20"/>
      <c r="O659" s="20"/>
      <c r="P659" s="20"/>
    </row>
    <row r="660" ht="15.75" customHeight="1">
      <c r="A660" s="20"/>
      <c r="B660" s="20"/>
      <c r="C660" s="20"/>
      <c r="D660" s="20"/>
      <c r="E660" s="20"/>
      <c r="F660" s="20"/>
      <c r="G660" s="20"/>
      <c r="H660" s="20"/>
      <c r="I660" s="20"/>
      <c r="J660" s="20"/>
      <c r="K660" s="20"/>
      <c r="L660" s="20"/>
      <c r="M660" s="20"/>
      <c r="N660" s="20"/>
      <c r="O660" s="20"/>
      <c r="P660" s="20"/>
    </row>
    <row r="661" ht="15.75" customHeight="1">
      <c r="A661" s="20"/>
      <c r="B661" s="20"/>
      <c r="C661" s="20"/>
      <c r="D661" s="20"/>
      <c r="E661" s="20"/>
      <c r="F661" s="20"/>
      <c r="G661" s="20"/>
      <c r="H661" s="20"/>
      <c r="I661" s="20"/>
      <c r="J661" s="20"/>
      <c r="K661" s="20"/>
      <c r="L661" s="20"/>
      <c r="M661" s="20"/>
      <c r="N661" s="20"/>
      <c r="O661" s="20"/>
      <c r="P661" s="20"/>
    </row>
    <row r="662" ht="15.75" customHeight="1">
      <c r="A662" s="20"/>
      <c r="B662" s="20"/>
      <c r="C662" s="20"/>
      <c r="D662" s="20"/>
      <c r="E662" s="20"/>
      <c r="F662" s="20"/>
      <c r="G662" s="20"/>
      <c r="H662" s="20"/>
      <c r="I662" s="20"/>
      <c r="J662" s="20"/>
      <c r="K662" s="20"/>
      <c r="L662" s="20"/>
      <c r="M662" s="20"/>
      <c r="N662" s="20"/>
      <c r="O662" s="20"/>
      <c r="P662" s="20"/>
    </row>
    <row r="663" ht="15.75" customHeight="1">
      <c r="A663" s="20"/>
      <c r="B663" s="20"/>
      <c r="C663" s="20"/>
      <c r="D663" s="20"/>
      <c r="E663" s="20"/>
      <c r="F663" s="20"/>
      <c r="G663" s="20"/>
      <c r="H663" s="20"/>
      <c r="I663" s="20"/>
      <c r="J663" s="20"/>
      <c r="K663" s="20"/>
      <c r="L663" s="20"/>
      <c r="M663" s="20"/>
      <c r="N663" s="20"/>
      <c r="O663" s="20"/>
      <c r="P663" s="20"/>
    </row>
    <row r="664" ht="15.75" customHeight="1">
      <c r="A664" s="20"/>
      <c r="B664" s="20"/>
      <c r="C664" s="20"/>
      <c r="D664" s="20"/>
      <c r="E664" s="20"/>
      <c r="F664" s="20"/>
      <c r="G664" s="20"/>
      <c r="H664" s="20"/>
      <c r="I664" s="20"/>
      <c r="J664" s="20"/>
      <c r="K664" s="20"/>
      <c r="L664" s="20"/>
      <c r="M664" s="20"/>
      <c r="N664" s="20"/>
      <c r="O664" s="20"/>
      <c r="P664" s="20"/>
    </row>
    <row r="665" ht="15.75" customHeight="1">
      <c r="A665" s="20"/>
      <c r="B665" s="20"/>
      <c r="C665" s="20"/>
      <c r="D665" s="20"/>
      <c r="E665" s="20"/>
      <c r="F665" s="20"/>
      <c r="G665" s="20"/>
      <c r="H665" s="20"/>
      <c r="I665" s="20"/>
      <c r="J665" s="20"/>
      <c r="K665" s="20"/>
      <c r="L665" s="20"/>
      <c r="M665" s="20"/>
      <c r="N665" s="20"/>
      <c r="O665" s="20"/>
      <c r="P665" s="20"/>
    </row>
    <row r="666" ht="15.75" customHeight="1">
      <c r="A666" s="20"/>
      <c r="B666" s="20"/>
      <c r="C666" s="20"/>
      <c r="D666" s="20"/>
      <c r="E666" s="20"/>
      <c r="F666" s="20"/>
      <c r="G666" s="20"/>
      <c r="H666" s="20"/>
      <c r="I666" s="20"/>
      <c r="J666" s="20"/>
      <c r="K666" s="20"/>
      <c r="L666" s="20"/>
      <c r="M666" s="20"/>
      <c r="N666" s="20"/>
      <c r="O666" s="20"/>
      <c r="P666" s="20"/>
    </row>
    <row r="667" ht="15.75" customHeight="1">
      <c r="A667" s="20"/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</row>
    <row r="668" ht="15.75" customHeight="1">
      <c r="A668" s="20"/>
      <c r="B668" s="20"/>
      <c r="C668" s="20"/>
      <c r="D668" s="20"/>
      <c r="E668" s="20"/>
      <c r="F668" s="20"/>
      <c r="G668" s="20"/>
      <c r="H668" s="20"/>
      <c r="I668" s="20"/>
      <c r="J668" s="20"/>
      <c r="K668" s="20"/>
      <c r="L668" s="20"/>
      <c r="M668" s="20"/>
      <c r="N668" s="20"/>
      <c r="O668" s="20"/>
      <c r="P668" s="20"/>
    </row>
    <row r="669" ht="15.75" customHeight="1">
      <c r="A669" s="20"/>
      <c r="B669" s="20"/>
      <c r="C669" s="20"/>
      <c r="D669" s="20"/>
      <c r="E669" s="20"/>
      <c r="F669" s="20"/>
      <c r="G669" s="20"/>
      <c r="H669" s="20"/>
      <c r="I669" s="20"/>
      <c r="J669" s="20"/>
      <c r="K669" s="20"/>
      <c r="L669" s="20"/>
      <c r="M669" s="20"/>
      <c r="N669" s="20"/>
      <c r="O669" s="20"/>
      <c r="P669" s="20"/>
    </row>
    <row r="670" ht="15.75" customHeight="1">
      <c r="A670" s="20"/>
      <c r="B670" s="20"/>
      <c r="C670" s="20"/>
      <c r="D670" s="20"/>
      <c r="E670" s="20"/>
      <c r="F670" s="20"/>
      <c r="G670" s="20"/>
      <c r="H670" s="20"/>
      <c r="I670" s="20"/>
      <c r="J670" s="20"/>
      <c r="K670" s="20"/>
      <c r="L670" s="20"/>
      <c r="M670" s="20"/>
      <c r="N670" s="20"/>
      <c r="O670" s="20"/>
      <c r="P670" s="20"/>
    </row>
    <row r="671" ht="15.75" customHeight="1">
      <c r="A671" s="20"/>
      <c r="B671" s="20"/>
      <c r="C671" s="20"/>
      <c r="D671" s="20"/>
      <c r="E671" s="20"/>
      <c r="F671" s="20"/>
      <c r="G671" s="20"/>
      <c r="H671" s="20"/>
      <c r="I671" s="20"/>
      <c r="J671" s="20"/>
      <c r="K671" s="20"/>
      <c r="L671" s="20"/>
      <c r="M671" s="20"/>
      <c r="N671" s="20"/>
      <c r="O671" s="20"/>
      <c r="P671" s="20"/>
    </row>
    <row r="672" ht="15.75" customHeight="1">
      <c r="A672" s="20"/>
      <c r="B672" s="20"/>
      <c r="C672" s="20"/>
      <c r="D672" s="20"/>
      <c r="E672" s="20"/>
      <c r="F672" s="20"/>
      <c r="G672" s="20"/>
      <c r="H672" s="20"/>
      <c r="I672" s="20"/>
      <c r="J672" s="20"/>
      <c r="K672" s="20"/>
      <c r="L672" s="20"/>
      <c r="M672" s="20"/>
      <c r="N672" s="20"/>
      <c r="O672" s="20"/>
      <c r="P672" s="20"/>
    </row>
    <row r="673" ht="15.75" customHeight="1">
      <c r="A673" s="20"/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</row>
    <row r="674" ht="15.75" customHeight="1">
      <c r="A674" s="20"/>
      <c r="B674" s="20"/>
      <c r="C674" s="20"/>
      <c r="D674" s="20"/>
      <c r="E674" s="20"/>
      <c r="F674" s="20"/>
      <c r="G674" s="20"/>
      <c r="H674" s="20"/>
      <c r="I674" s="20"/>
      <c r="J674" s="20"/>
      <c r="K674" s="20"/>
      <c r="L674" s="20"/>
      <c r="M674" s="20"/>
      <c r="N674" s="20"/>
      <c r="O674" s="20"/>
      <c r="P674" s="20"/>
    </row>
    <row r="675" ht="15.75" customHeight="1">
      <c r="A675" s="20"/>
      <c r="B675" s="20"/>
      <c r="C675" s="20"/>
      <c r="D675" s="20"/>
      <c r="E675" s="20"/>
      <c r="F675" s="20"/>
      <c r="G675" s="20"/>
      <c r="H675" s="20"/>
      <c r="I675" s="20"/>
      <c r="J675" s="20"/>
      <c r="K675" s="20"/>
      <c r="L675" s="20"/>
      <c r="M675" s="20"/>
      <c r="N675" s="20"/>
      <c r="O675" s="20"/>
      <c r="P675" s="20"/>
    </row>
    <row r="676" ht="15.75" customHeight="1">
      <c r="A676" s="20"/>
      <c r="B676" s="20"/>
      <c r="C676" s="20"/>
      <c r="D676" s="20"/>
      <c r="E676" s="20"/>
      <c r="F676" s="20"/>
      <c r="G676" s="20"/>
      <c r="H676" s="20"/>
      <c r="I676" s="20"/>
      <c r="J676" s="20"/>
      <c r="K676" s="20"/>
      <c r="L676" s="20"/>
      <c r="M676" s="20"/>
      <c r="N676" s="20"/>
      <c r="O676" s="20"/>
      <c r="P676" s="20"/>
    </row>
    <row r="677" ht="15.75" customHeight="1">
      <c r="A677" s="20"/>
      <c r="B677" s="20"/>
      <c r="C677" s="20"/>
      <c r="D677" s="20"/>
      <c r="E677" s="20"/>
      <c r="F677" s="20"/>
      <c r="G677" s="20"/>
      <c r="H677" s="20"/>
      <c r="I677" s="20"/>
      <c r="J677" s="20"/>
      <c r="K677" s="20"/>
      <c r="L677" s="20"/>
      <c r="M677" s="20"/>
      <c r="N677" s="20"/>
      <c r="O677" s="20"/>
      <c r="P677" s="20"/>
    </row>
    <row r="678" ht="15.75" customHeight="1">
      <c r="A678" s="20"/>
      <c r="B678" s="20"/>
      <c r="C678" s="20"/>
      <c r="D678" s="20"/>
      <c r="E678" s="20"/>
      <c r="F678" s="20"/>
      <c r="G678" s="20"/>
      <c r="H678" s="20"/>
      <c r="I678" s="20"/>
      <c r="J678" s="20"/>
      <c r="K678" s="20"/>
      <c r="L678" s="20"/>
      <c r="M678" s="20"/>
      <c r="N678" s="20"/>
      <c r="O678" s="20"/>
      <c r="P678" s="20"/>
    </row>
    <row r="679" ht="15.75" customHeight="1">
      <c r="A679" s="20"/>
      <c r="B679" s="20"/>
      <c r="C679" s="20"/>
      <c r="D679" s="20"/>
      <c r="E679" s="20"/>
      <c r="F679" s="20"/>
      <c r="G679" s="20"/>
      <c r="H679" s="20"/>
      <c r="I679" s="20"/>
      <c r="J679" s="20"/>
      <c r="K679" s="20"/>
      <c r="L679" s="20"/>
      <c r="M679" s="20"/>
      <c r="N679" s="20"/>
      <c r="O679" s="20"/>
      <c r="P679" s="20"/>
    </row>
    <row r="680" ht="15.75" customHeight="1">
      <c r="A680" s="20"/>
      <c r="B680" s="20"/>
      <c r="C680" s="20"/>
      <c r="D680" s="20"/>
      <c r="E680" s="20"/>
      <c r="F680" s="20"/>
      <c r="G680" s="20"/>
      <c r="H680" s="20"/>
      <c r="I680" s="20"/>
      <c r="J680" s="20"/>
      <c r="K680" s="20"/>
      <c r="L680" s="20"/>
      <c r="M680" s="20"/>
      <c r="N680" s="20"/>
      <c r="O680" s="20"/>
      <c r="P680" s="20"/>
    </row>
    <row r="681" ht="15.75" customHeight="1">
      <c r="A681" s="20"/>
      <c r="B681" s="20"/>
      <c r="C681" s="20"/>
      <c r="D681" s="20"/>
      <c r="E681" s="20"/>
      <c r="F681" s="20"/>
      <c r="G681" s="20"/>
      <c r="H681" s="20"/>
      <c r="I681" s="20"/>
      <c r="J681" s="20"/>
      <c r="K681" s="20"/>
      <c r="L681" s="20"/>
      <c r="M681" s="20"/>
      <c r="N681" s="20"/>
      <c r="O681" s="20"/>
      <c r="P681" s="20"/>
    </row>
    <row r="682" ht="15.75" customHeight="1">
      <c r="A682" s="20"/>
      <c r="B682" s="20"/>
      <c r="C682" s="20"/>
      <c r="D682" s="20"/>
      <c r="E682" s="20"/>
      <c r="F682" s="20"/>
      <c r="G682" s="20"/>
      <c r="H682" s="20"/>
      <c r="I682" s="20"/>
      <c r="J682" s="20"/>
      <c r="K682" s="20"/>
      <c r="L682" s="20"/>
      <c r="M682" s="20"/>
      <c r="N682" s="20"/>
      <c r="O682" s="20"/>
      <c r="P682" s="20"/>
    </row>
    <row r="683" ht="15.75" customHeight="1">
      <c r="A683" s="20"/>
      <c r="B683" s="20"/>
      <c r="C683" s="20"/>
      <c r="D683" s="20"/>
      <c r="E683" s="20"/>
      <c r="F683" s="20"/>
      <c r="G683" s="20"/>
      <c r="H683" s="20"/>
      <c r="I683" s="20"/>
      <c r="J683" s="20"/>
      <c r="K683" s="20"/>
      <c r="L683" s="20"/>
      <c r="M683" s="20"/>
      <c r="N683" s="20"/>
      <c r="O683" s="20"/>
      <c r="P683" s="20"/>
    </row>
    <row r="684" ht="15.75" customHeight="1">
      <c r="A684" s="20"/>
      <c r="B684" s="20"/>
      <c r="C684" s="20"/>
      <c r="D684" s="20"/>
      <c r="E684" s="20"/>
      <c r="F684" s="20"/>
      <c r="G684" s="20"/>
      <c r="H684" s="20"/>
      <c r="I684" s="20"/>
      <c r="J684" s="20"/>
      <c r="K684" s="20"/>
      <c r="L684" s="20"/>
      <c r="M684" s="20"/>
      <c r="N684" s="20"/>
      <c r="O684" s="20"/>
      <c r="P684" s="20"/>
    </row>
    <row r="685" ht="15.75" customHeight="1">
      <c r="A685" s="20"/>
      <c r="B685" s="20"/>
      <c r="C685" s="20"/>
      <c r="D685" s="20"/>
      <c r="E685" s="20"/>
      <c r="F685" s="20"/>
      <c r="G685" s="20"/>
      <c r="H685" s="20"/>
      <c r="I685" s="20"/>
      <c r="J685" s="20"/>
      <c r="K685" s="20"/>
      <c r="L685" s="20"/>
      <c r="M685" s="20"/>
      <c r="N685" s="20"/>
      <c r="O685" s="20"/>
      <c r="P685" s="20"/>
    </row>
    <row r="686" ht="15.75" customHeight="1">
      <c r="A686" s="20"/>
      <c r="B686" s="20"/>
      <c r="C686" s="20"/>
      <c r="D686" s="20"/>
      <c r="E686" s="20"/>
      <c r="F686" s="20"/>
      <c r="G686" s="20"/>
      <c r="H686" s="20"/>
      <c r="I686" s="20"/>
      <c r="J686" s="20"/>
      <c r="K686" s="20"/>
      <c r="L686" s="20"/>
      <c r="M686" s="20"/>
      <c r="N686" s="20"/>
      <c r="O686" s="20"/>
      <c r="P686" s="20"/>
    </row>
    <row r="687" ht="15.75" customHeight="1">
      <c r="A687" s="20"/>
      <c r="B687" s="20"/>
      <c r="C687" s="20"/>
      <c r="D687" s="20"/>
      <c r="E687" s="20"/>
      <c r="F687" s="20"/>
      <c r="G687" s="20"/>
      <c r="H687" s="20"/>
      <c r="I687" s="20"/>
      <c r="J687" s="20"/>
      <c r="K687" s="20"/>
      <c r="L687" s="20"/>
      <c r="M687" s="20"/>
      <c r="N687" s="20"/>
      <c r="O687" s="20"/>
      <c r="P687" s="20"/>
    </row>
    <row r="688" ht="15.75" customHeight="1">
      <c r="A688" s="20"/>
      <c r="B688" s="20"/>
      <c r="C688" s="20"/>
      <c r="D688" s="20"/>
      <c r="E688" s="20"/>
      <c r="F688" s="20"/>
      <c r="G688" s="20"/>
      <c r="H688" s="20"/>
      <c r="I688" s="20"/>
      <c r="J688" s="20"/>
      <c r="K688" s="20"/>
      <c r="L688" s="20"/>
      <c r="M688" s="20"/>
      <c r="N688" s="20"/>
      <c r="O688" s="20"/>
      <c r="P688" s="20"/>
    </row>
    <row r="689" ht="15.75" customHeight="1">
      <c r="A689" s="20"/>
      <c r="B689" s="20"/>
      <c r="C689" s="20"/>
      <c r="D689" s="20"/>
      <c r="E689" s="20"/>
      <c r="F689" s="20"/>
      <c r="G689" s="20"/>
      <c r="H689" s="20"/>
      <c r="I689" s="20"/>
      <c r="J689" s="20"/>
      <c r="K689" s="20"/>
      <c r="L689" s="20"/>
      <c r="M689" s="20"/>
      <c r="N689" s="20"/>
      <c r="O689" s="20"/>
      <c r="P689" s="20"/>
    </row>
    <row r="690" ht="15.75" customHeight="1">
      <c r="A690" s="20"/>
      <c r="B690" s="20"/>
      <c r="C690" s="20"/>
      <c r="D690" s="20"/>
      <c r="E690" s="20"/>
      <c r="F690" s="20"/>
      <c r="G690" s="20"/>
      <c r="H690" s="20"/>
      <c r="I690" s="20"/>
      <c r="J690" s="20"/>
      <c r="K690" s="20"/>
      <c r="L690" s="20"/>
      <c r="M690" s="20"/>
      <c r="N690" s="20"/>
      <c r="O690" s="20"/>
      <c r="P690" s="20"/>
    </row>
    <row r="691" ht="15.75" customHeight="1">
      <c r="A691" s="20"/>
      <c r="B691" s="20"/>
      <c r="C691" s="20"/>
      <c r="D691" s="20"/>
      <c r="E691" s="20"/>
      <c r="F691" s="20"/>
      <c r="G691" s="20"/>
      <c r="H691" s="20"/>
      <c r="I691" s="20"/>
      <c r="J691" s="20"/>
      <c r="K691" s="20"/>
      <c r="L691" s="20"/>
      <c r="M691" s="20"/>
      <c r="N691" s="20"/>
      <c r="O691" s="20"/>
      <c r="P691" s="20"/>
    </row>
    <row r="692" ht="15.75" customHeight="1">
      <c r="A692" s="20"/>
      <c r="B692" s="20"/>
      <c r="C692" s="20"/>
      <c r="D692" s="20"/>
      <c r="E692" s="20"/>
      <c r="F692" s="20"/>
      <c r="G692" s="20"/>
      <c r="H692" s="20"/>
      <c r="I692" s="20"/>
      <c r="J692" s="20"/>
      <c r="K692" s="20"/>
      <c r="L692" s="20"/>
      <c r="M692" s="20"/>
      <c r="N692" s="20"/>
      <c r="O692" s="20"/>
      <c r="P692" s="20"/>
    </row>
    <row r="693" ht="15.75" customHeight="1">
      <c r="A693" s="20"/>
      <c r="B693" s="20"/>
      <c r="C693" s="20"/>
      <c r="D693" s="20"/>
      <c r="E693" s="20"/>
      <c r="F693" s="20"/>
      <c r="G693" s="20"/>
      <c r="H693" s="20"/>
      <c r="I693" s="20"/>
      <c r="J693" s="20"/>
      <c r="K693" s="20"/>
      <c r="L693" s="20"/>
      <c r="M693" s="20"/>
      <c r="N693" s="20"/>
      <c r="O693" s="20"/>
      <c r="P693" s="20"/>
    </row>
    <row r="694" ht="15.75" customHeight="1">
      <c r="A694" s="20"/>
      <c r="B694" s="20"/>
      <c r="C694" s="20"/>
      <c r="D694" s="20"/>
      <c r="E694" s="20"/>
      <c r="F694" s="20"/>
      <c r="G694" s="20"/>
      <c r="H694" s="20"/>
      <c r="I694" s="20"/>
      <c r="J694" s="20"/>
      <c r="K694" s="20"/>
      <c r="L694" s="20"/>
      <c r="M694" s="20"/>
      <c r="N694" s="20"/>
      <c r="O694" s="20"/>
      <c r="P694" s="20"/>
    </row>
    <row r="695" ht="15.75" customHeight="1">
      <c r="A695" s="20"/>
      <c r="B695" s="20"/>
      <c r="C695" s="20"/>
      <c r="D695" s="20"/>
      <c r="E695" s="20"/>
      <c r="F695" s="20"/>
      <c r="G695" s="20"/>
      <c r="H695" s="20"/>
      <c r="I695" s="20"/>
      <c r="J695" s="20"/>
      <c r="K695" s="20"/>
      <c r="L695" s="20"/>
      <c r="M695" s="20"/>
      <c r="N695" s="20"/>
      <c r="O695" s="20"/>
      <c r="P695" s="20"/>
    </row>
    <row r="696" ht="15.75" customHeight="1">
      <c r="A696" s="20"/>
      <c r="B696" s="20"/>
      <c r="C696" s="20"/>
      <c r="D696" s="20"/>
      <c r="E696" s="20"/>
      <c r="F696" s="20"/>
      <c r="G696" s="20"/>
      <c r="H696" s="20"/>
      <c r="I696" s="20"/>
      <c r="J696" s="20"/>
      <c r="K696" s="20"/>
      <c r="L696" s="20"/>
      <c r="M696" s="20"/>
      <c r="N696" s="20"/>
      <c r="O696" s="20"/>
      <c r="P696" s="20"/>
    </row>
    <row r="697" ht="15.75" customHeight="1">
      <c r="A697" s="20"/>
      <c r="B697" s="20"/>
      <c r="C697" s="20"/>
      <c r="D697" s="20"/>
      <c r="E697" s="20"/>
      <c r="F697" s="20"/>
      <c r="G697" s="20"/>
      <c r="H697" s="20"/>
      <c r="I697" s="20"/>
      <c r="J697" s="20"/>
      <c r="K697" s="20"/>
      <c r="L697" s="20"/>
      <c r="M697" s="20"/>
      <c r="N697" s="20"/>
      <c r="O697" s="20"/>
      <c r="P697" s="20"/>
    </row>
    <row r="698" ht="15.75" customHeight="1">
      <c r="A698" s="20"/>
      <c r="B698" s="20"/>
      <c r="C698" s="20"/>
      <c r="D698" s="20"/>
      <c r="E698" s="20"/>
      <c r="F698" s="20"/>
      <c r="G698" s="20"/>
      <c r="H698" s="20"/>
      <c r="I698" s="20"/>
      <c r="J698" s="20"/>
      <c r="K698" s="20"/>
      <c r="L698" s="20"/>
      <c r="M698" s="20"/>
      <c r="N698" s="20"/>
      <c r="O698" s="20"/>
      <c r="P698" s="20"/>
    </row>
    <row r="699" ht="15.75" customHeight="1">
      <c r="A699" s="20"/>
      <c r="B699" s="20"/>
      <c r="C699" s="20"/>
      <c r="D699" s="20"/>
      <c r="E699" s="20"/>
      <c r="F699" s="20"/>
      <c r="G699" s="20"/>
      <c r="H699" s="20"/>
      <c r="I699" s="20"/>
      <c r="J699" s="20"/>
      <c r="K699" s="20"/>
      <c r="L699" s="20"/>
      <c r="M699" s="20"/>
      <c r="N699" s="20"/>
      <c r="O699" s="20"/>
      <c r="P699" s="20"/>
    </row>
    <row r="700" ht="15.75" customHeight="1">
      <c r="A700" s="20"/>
      <c r="B700" s="20"/>
      <c r="C700" s="20"/>
      <c r="D700" s="20"/>
      <c r="E700" s="20"/>
      <c r="F700" s="20"/>
      <c r="G700" s="20"/>
      <c r="H700" s="20"/>
      <c r="I700" s="20"/>
      <c r="J700" s="20"/>
      <c r="K700" s="20"/>
      <c r="L700" s="20"/>
      <c r="M700" s="20"/>
      <c r="N700" s="20"/>
      <c r="O700" s="20"/>
      <c r="P700" s="20"/>
    </row>
    <row r="701" ht="15.75" customHeight="1">
      <c r="A701" s="20"/>
      <c r="B701" s="20"/>
      <c r="C701" s="20"/>
      <c r="D701" s="20"/>
      <c r="E701" s="20"/>
      <c r="F701" s="20"/>
      <c r="G701" s="20"/>
      <c r="H701" s="20"/>
      <c r="I701" s="20"/>
      <c r="J701" s="20"/>
      <c r="K701" s="20"/>
      <c r="L701" s="20"/>
      <c r="M701" s="20"/>
      <c r="N701" s="20"/>
      <c r="O701" s="20"/>
      <c r="P701" s="20"/>
    </row>
    <row r="702" ht="15.75" customHeight="1">
      <c r="A702" s="20"/>
      <c r="B702" s="20"/>
      <c r="C702" s="20"/>
      <c r="D702" s="20"/>
      <c r="E702" s="20"/>
      <c r="F702" s="20"/>
      <c r="G702" s="20"/>
      <c r="H702" s="20"/>
      <c r="I702" s="20"/>
      <c r="J702" s="20"/>
      <c r="K702" s="20"/>
      <c r="L702" s="20"/>
      <c r="M702" s="20"/>
      <c r="N702" s="20"/>
      <c r="O702" s="20"/>
      <c r="P702" s="20"/>
    </row>
    <row r="703" ht="15.75" customHeight="1">
      <c r="A703" s="20"/>
      <c r="B703" s="20"/>
      <c r="C703" s="20"/>
      <c r="D703" s="20"/>
      <c r="E703" s="20"/>
      <c r="F703" s="20"/>
      <c r="G703" s="20"/>
      <c r="H703" s="20"/>
      <c r="I703" s="20"/>
      <c r="J703" s="20"/>
      <c r="K703" s="20"/>
      <c r="L703" s="20"/>
      <c r="M703" s="20"/>
      <c r="N703" s="20"/>
      <c r="O703" s="20"/>
      <c r="P703" s="20"/>
    </row>
    <row r="704" ht="15.75" customHeight="1">
      <c r="A704" s="20"/>
      <c r="B704" s="20"/>
      <c r="C704" s="20"/>
      <c r="D704" s="20"/>
      <c r="E704" s="20"/>
      <c r="F704" s="20"/>
      <c r="G704" s="20"/>
      <c r="H704" s="20"/>
      <c r="I704" s="20"/>
      <c r="J704" s="20"/>
      <c r="K704" s="20"/>
      <c r="L704" s="20"/>
      <c r="M704" s="20"/>
      <c r="N704" s="20"/>
      <c r="O704" s="20"/>
      <c r="P704" s="20"/>
    </row>
    <row r="705" ht="15.75" customHeight="1">
      <c r="A705" s="20"/>
      <c r="B705" s="20"/>
      <c r="C705" s="20"/>
      <c r="D705" s="20"/>
      <c r="E705" s="20"/>
      <c r="F705" s="20"/>
      <c r="G705" s="20"/>
      <c r="H705" s="20"/>
      <c r="I705" s="20"/>
      <c r="J705" s="20"/>
      <c r="K705" s="20"/>
      <c r="L705" s="20"/>
      <c r="M705" s="20"/>
      <c r="N705" s="20"/>
      <c r="O705" s="20"/>
      <c r="P705" s="20"/>
    </row>
    <row r="706" ht="15.75" customHeight="1">
      <c r="A706" s="20"/>
      <c r="B706" s="20"/>
      <c r="C706" s="20"/>
      <c r="D706" s="20"/>
      <c r="E706" s="20"/>
      <c r="F706" s="20"/>
      <c r="G706" s="20"/>
      <c r="H706" s="20"/>
      <c r="I706" s="20"/>
      <c r="J706" s="20"/>
      <c r="K706" s="20"/>
      <c r="L706" s="20"/>
      <c r="M706" s="20"/>
      <c r="N706" s="20"/>
      <c r="O706" s="20"/>
      <c r="P706" s="20"/>
    </row>
    <row r="707" ht="15.75" customHeight="1">
      <c r="A707" s="20"/>
      <c r="B707" s="20"/>
      <c r="C707" s="20"/>
      <c r="D707" s="20"/>
      <c r="E707" s="20"/>
      <c r="F707" s="20"/>
      <c r="G707" s="20"/>
      <c r="H707" s="20"/>
      <c r="I707" s="20"/>
      <c r="J707" s="20"/>
      <c r="K707" s="20"/>
      <c r="L707" s="20"/>
      <c r="M707" s="20"/>
      <c r="N707" s="20"/>
      <c r="O707" s="20"/>
      <c r="P707" s="20"/>
    </row>
    <row r="708" ht="15.75" customHeight="1">
      <c r="A708" s="20"/>
      <c r="B708" s="20"/>
      <c r="C708" s="20"/>
      <c r="D708" s="20"/>
      <c r="E708" s="20"/>
      <c r="F708" s="20"/>
      <c r="G708" s="20"/>
      <c r="H708" s="20"/>
      <c r="I708" s="20"/>
      <c r="J708" s="20"/>
      <c r="K708" s="20"/>
      <c r="L708" s="20"/>
      <c r="M708" s="20"/>
      <c r="N708" s="20"/>
      <c r="O708" s="20"/>
      <c r="P708" s="20"/>
    </row>
    <row r="709" ht="15.75" customHeight="1">
      <c r="A709" s="20"/>
      <c r="B709" s="20"/>
      <c r="C709" s="20"/>
      <c r="D709" s="20"/>
      <c r="E709" s="20"/>
      <c r="F709" s="20"/>
      <c r="G709" s="20"/>
      <c r="H709" s="20"/>
      <c r="I709" s="20"/>
      <c r="J709" s="20"/>
      <c r="K709" s="20"/>
      <c r="L709" s="20"/>
      <c r="M709" s="20"/>
      <c r="N709" s="20"/>
      <c r="O709" s="20"/>
      <c r="P709" s="20"/>
    </row>
    <row r="710" ht="15.75" customHeight="1">
      <c r="A710" s="20"/>
      <c r="B710" s="20"/>
      <c r="C710" s="20"/>
      <c r="D710" s="20"/>
      <c r="E710" s="20"/>
      <c r="F710" s="20"/>
      <c r="G710" s="20"/>
      <c r="H710" s="20"/>
      <c r="I710" s="20"/>
      <c r="J710" s="20"/>
      <c r="K710" s="20"/>
      <c r="L710" s="20"/>
      <c r="M710" s="20"/>
      <c r="N710" s="20"/>
      <c r="O710" s="20"/>
      <c r="P710" s="20"/>
    </row>
    <row r="711" ht="15.75" customHeight="1">
      <c r="A711" s="20"/>
      <c r="B711" s="20"/>
      <c r="C711" s="20"/>
      <c r="D711" s="20"/>
      <c r="E711" s="20"/>
      <c r="F711" s="20"/>
      <c r="G711" s="20"/>
      <c r="H711" s="20"/>
      <c r="I711" s="20"/>
      <c r="J711" s="20"/>
      <c r="K711" s="20"/>
      <c r="L711" s="20"/>
      <c r="M711" s="20"/>
      <c r="N711" s="20"/>
      <c r="O711" s="20"/>
      <c r="P711" s="20"/>
    </row>
    <row r="712" ht="15.75" customHeight="1">
      <c r="A712" s="20"/>
      <c r="B712" s="20"/>
      <c r="C712" s="20"/>
      <c r="D712" s="20"/>
      <c r="E712" s="20"/>
      <c r="F712" s="20"/>
      <c r="G712" s="20"/>
      <c r="H712" s="20"/>
      <c r="I712" s="20"/>
      <c r="J712" s="20"/>
      <c r="K712" s="20"/>
      <c r="L712" s="20"/>
      <c r="M712" s="20"/>
      <c r="N712" s="20"/>
      <c r="O712" s="20"/>
      <c r="P712" s="20"/>
    </row>
    <row r="713" ht="15.75" customHeight="1">
      <c r="A713" s="20"/>
      <c r="B713" s="20"/>
      <c r="C713" s="20"/>
      <c r="D713" s="20"/>
      <c r="E713" s="20"/>
      <c r="F713" s="20"/>
      <c r="G713" s="20"/>
      <c r="H713" s="20"/>
      <c r="I713" s="20"/>
      <c r="J713" s="20"/>
      <c r="K713" s="20"/>
      <c r="L713" s="20"/>
      <c r="M713" s="20"/>
      <c r="N713" s="20"/>
      <c r="O713" s="20"/>
      <c r="P713" s="20"/>
    </row>
    <row r="714" ht="15.75" customHeight="1">
      <c r="A714" s="20"/>
      <c r="B714" s="20"/>
      <c r="C714" s="20"/>
      <c r="D714" s="20"/>
      <c r="E714" s="20"/>
      <c r="F714" s="20"/>
      <c r="G714" s="20"/>
      <c r="H714" s="20"/>
      <c r="I714" s="20"/>
      <c r="J714" s="20"/>
      <c r="K714" s="20"/>
      <c r="L714" s="20"/>
      <c r="M714" s="20"/>
      <c r="N714" s="20"/>
      <c r="O714" s="20"/>
      <c r="P714" s="20"/>
    </row>
    <row r="715" ht="15.75" customHeight="1">
      <c r="A715" s="20"/>
      <c r="B715" s="20"/>
      <c r="C715" s="20"/>
      <c r="D715" s="20"/>
      <c r="E715" s="20"/>
      <c r="F715" s="20"/>
      <c r="G715" s="20"/>
      <c r="H715" s="20"/>
      <c r="I715" s="20"/>
      <c r="J715" s="20"/>
      <c r="K715" s="20"/>
      <c r="L715" s="20"/>
      <c r="M715" s="20"/>
      <c r="N715" s="20"/>
      <c r="O715" s="20"/>
      <c r="P715" s="20"/>
    </row>
    <row r="716" ht="15.75" customHeight="1">
      <c r="A716" s="20"/>
      <c r="B716" s="20"/>
      <c r="C716" s="20"/>
      <c r="D716" s="20"/>
      <c r="E716" s="20"/>
      <c r="F716" s="20"/>
      <c r="G716" s="20"/>
      <c r="H716" s="20"/>
      <c r="I716" s="20"/>
      <c r="J716" s="20"/>
      <c r="K716" s="20"/>
      <c r="L716" s="20"/>
      <c r="M716" s="20"/>
      <c r="N716" s="20"/>
      <c r="O716" s="20"/>
      <c r="P716" s="20"/>
    </row>
    <row r="717" ht="15.75" customHeight="1">
      <c r="A717" s="20"/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</row>
    <row r="718" ht="15.75" customHeight="1">
      <c r="A718" s="20"/>
      <c r="B718" s="20"/>
      <c r="C718" s="20"/>
      <c r="D718" s="20"/>
      <c r="E718" s="20"/>
      <c r="F718" s="20"/>
      <c r="G718" s="20"/>
      <c r="H718" s="20"/>
      <c r="I718" s="20"/>
      <c r="J718" s="20"/>
      <c r="K718" s="20"/>
      <c r="L718" s="20"/>
      <c r="M718" s="20"/>
      <c r="N718" s="20"/>
      <c r="O718" s="20"/>
      <c r="P718" s="20"/>
    </row>
    <row r="719" ht="15.75" customHeight="1">
      <c r="A719" s="20"/>
      <c r="B719" s="20"/>
      <c r="C719" s="20"/>
      <c r="D719" s="20"/>
      <c r="E719" s="20"/>
      <c r="F719" s="20"/>
      <c r="G719" s="20"/>
      <c r="H719" s="20"/>
      <c r="I719" s="20"/>
      <c r="J719" s="20"/>
      <c r="K719" s="20"/>
      <c r="L719" s="20"/>
      <c r="M719" s="20"/>
      <c r="N719" s="20"/>
      <c r="O719" s="20"/>
      <c r="P719" s="20"/>
    </row>
    <row r="720" ht="15.75" customHeight="1">
      <c r="A720" s="20"/>
      <c r="B720" s="20"/>
      <c r="C720" s="20"/>
      <c r="D720" s="20"/>
      <c r="E720" s="20"/>
      <c r="F720" s="20"/>
      <c r="G720" s="20"/>
      <c r="H720" s="20"/>
      <c r="I720" s="20"/>
      <c r="J720" s="20"/>
      <c r="K720" s="20"/>
      <c r="L720" s="20"/>
      <c r="M720" s="20"/>
      <c r="N720" s="20"/>
      <c r="O720" s="20"/>
      <c r="P720" s="20"/>
    </row>
    <row r="721" ht="15.75" customHeight="1">
      <c r="A721" s="20"/>
      <c r="B721" s="20"/>
      <c r="C721" s="20"/>
      <c r="D721" s="20"/>
      <c r="E721" s="20"/>
      <c r="F721" s="20"/>
      <c r="G721" s="20"/>
      <c r="H721" s="20"/>
      <c r="I721" s="20"/>
      <c r="J721" s="20"/>
      <c r="K721" s="20"/>
      <c r="L721" s="20"/>
      <c r="M721" s="20"/>
      <c r="N721" s="20"/>
      <c r="O721" s="20"/>
      <c r="P721" s="20"/>
    </row>
    <row r="722" ht="15.75" customHeight="1">
      <c r="A722" s="20"/>
      <c r="B722" s="20"/>
      <c r="C722" s="20"/>
      <c r="D722" s="20"/>
      <c r="E722" s="20"/>
      <c r="F722" s="20"/>
      <c r="G722" s="20"/>
      <c r="H722" s="20"/>
      <c r="I722" s="20"/>
      <c r="J722" s="20"/>
      <c r="K722" s="20"/>
      <c r="L722" s="20"/>
      <c r="M722" s="20"/>
      <c r="N722" s="20"/>
      <c r="O722" s="20"/>
      <c r="P722" s="20"/>
    </row>
    <row r="723" ht="15.75" customHeight="1">
      <c r="A723" s="20"/>
      <c r="B723" s="20"/>
      <c r="C723" s="20"/>
      <c r="D723" s="20"/>
      <c r="E723" s="20"/>
      <c r="F723" s="20"/>
      <c r="G723" s="20"/>
      <c r="H723" s="20"/>
      <c r="I723" s="20"/>
      <c r="J723" s="20"/>
      <c r="K723" s="20"/>
      <c r="L723" s="20"/>
      <c r="M723" s="20"/>
      <c r="N723" s="20"/>
      <c r="O723" s="20"/>
      <c r="P723" s="20"/>
    </row>
    <row r="724" ht="15.75" customHeight="1">
      <c r="A724" s="20"/>
      <c r="B724" s="20"/>
      <c r="C724" s="20"/>
      <c r="D724" s="20"/>
      <c r="E724" s="20"/>
      <c r="F724" s="20"/>
      <c r="G724" s="20"/>
      <c r="H724" s="20"/>
      <c r="I724" s="20"/>
      <c r="J724" s="20"/>
      <c r="K724" s="20"/>
      <c r="L724" s="20"/>
      <c r="M724" s="20"/>
      <c r="N724" s="20"/>
      <c r="O724" s="20"/>
      <c r="P724" s="20"/>
    </row>
    <row r="725" ht="15.75" customHeight="1">
      <c r="A725" s="20"/>
      <c r="B725" s="20"/>
      <c r="C725" s="20"/>
      <c r="D725" s="20"/>
      <c r="E725" s="20"/>
      <c r="F725" s="20"/>
      <c r="G725" s="20"/>
      <c r="H725" s="20"/>
      <c r="I725" s="20"/>
      <c r="J725" s="20"/>
      <c r="K725" s="20"/>
      <c r="L725" s="20"/>
      <c r="M725" s="20"/>
      <c r="N725" s="20"/>
      <c r="O725" s="20"/>
      <c r="P725" s="20"/>
    </row>
    <row r="726" ht="15.75" customHeight="1">
      <c r="A726" s="20"/>
      <c r="B726" s="20"/>
      <c r="C726" s="20"/>
      <c r="D726" s="20"/>
      <c r="E726" s="20"/>
      <c r="F726" s="20"/>
      <c r="G726" s="20"/>
      <c r="H726" s="20"/>
      <c r="I726" s="20"/>
      <c r="J726" s="20"/>
      <c r="K726" s="20"/>
      <c r="L726" s="20"/>
      <c r="M726" s="20"/>
      <c r="N726" s="20"/>
      <c r="O726" s="20"/>
      <c r="P726" s="20"/>
    </row>
    <row r="727" ht="15.75" customHeight="1">
      <c r="A727" s="20"/>
      <c r="B727" s="20"/>
      <c r="C727" s="20"/>
      <c r="D727" s="20"/>
      <c r="E727" s="20"/>
      <c r="F727" s="20"/>
      <c r="G727" s="20"/>
      <c r="H727" s="20"/>
      <c r="I727" s="20"/>
      <c r="J727" s="20"/>
      <c r="K727" s="20"/>
      <c r="L727" s="20"/>
      <c r="M727" s="20"/>
      <c r="N727" s="20"/>
      <c r="O727" s="20"/>
      <c r="P727" s="20"/>
    </row>
    <row r="728" ht="15.75" customHeight="1">
      <c r="A728" s="20"/>
      <c r="B728" s="20"/>
      <c r="C728" s="20"/>
      <c r="D728" s="20"/>
      <c r="E728" s="20"/>
      <c r="F728" s="20"/>
      <c r="G728" s="20"/>
      <c r="H728" s="20"/>
      <c r="I728" s="20"/>
      <c r="J728" s="20"/>
      <c r="K728" s="20"/>
      <c r="L728" s="20"/>
      <c r="M728" s="20"/>
      <c r="N728" s="20"/>
      <c r="O728" s="20"/>
      <c r="P728" s="20"/>
    </row>
    <row r="729" ht="15.75" customHeight="1">
      <c r="A729" s="20"/>
      <c r="B729" s="20"/>
      <c r="C729" s="20"/>
      <c r="D729" s="20"/>
      <c r="E729" s="20"/>
      <c r="F729" s="20"/>
      <c r="G729" s="20"/>
      <c r="H729" s="20"/>
      <c r="I729" s="20"/>
      <c r="J729" s="20"/>
      <c r="K729" s="20"/>
      <c r="L729" s="20"/>
      <c r="M729" s="20"/>
      <c r="N729" s="20"/>
      <c r="O729" s="20"/>
      <c r="P729" s="20"/>
    </row>
    <row r="730" ht="15.75" customHeight="1">
      <c r="A730" s="20"/>
      <c r="B730" s="20"/>
      <c r="C730" s="20"/>
      <c r="D730" s="20"/>
      <c r="E730" s="20"/>
      <c r="F730" s="20"/>
      <c r="G730" s="20"/>
      <c r="H730" s="20"/>
      <c r="I730" s="20"/>
      <c r="J730" s="20"/>
      <c r="K730" s="20"/>
      <c r="L730" s="20"/>
      <c r="M730" s="20"/>
      <c r="N730" s="20"/>
      <c r="O730" s="20"/>
      <c r="P730" s="20"/>
    </row>
    <row r="731" ht="15.75" customHeight="1">
      <c r="A731" s="20"/>
      <c r="B731" s="20"/>
      <c r="C731" s="20"/>
      <c r="D731" s="20"/>
      <c r="E731" s="20"/>
      <c r="F731" s="20"/>
      <c r="G731" s="20"/>
      <c r="H731" s="20"/>
      <c r="I731" s="20"/>
      <c r="J731" s="20"/>
      <c r="K731" s="20"/>
      <c r="L731" s="20"/>
      <c r="M731" s="20"/>
      <c r="N731" s="20"/>
      <c r="O731" s="20"/>
      <c r="P731" s="20"/>
    </row>
    <row r="732" ht="15.75" customHeight="1">
      <c r="A732" s="20"/>
      <c r="B732" s="20"/>
      <c r="C732" s="20"/>
      <c r="D732" s="20"/>
      <c r="E732" s="20"/>
      <c r="F732" s="20"/>
      <c r="G732" s="20"/>
      <c r="H732" s="20"/>
      <c r="I732" s="20"/>
      <c r="J732" s="20"/>
      <c r="K732" s="20"/>
      <c r="L732" s="20"/>
      <c r="M732" s="20"/>
      <c r="N732" s="20"/>
      <c r="O732" s="20"/>
      <c r="P732" s="20"/>
    </row>
    <row r="733" ht="15.75" customHeight="1">
      <c r="A733" s="20"/>
      <c r="B733" s="20"/>
      <c r="C733" s="20"/>
      <c r="D733" s="20"/>
      <c r="E733" s="20"/>
      <c r="F733" s="20"/>
      <c r="G733" s="20"/>
      <c r="H733" s="20"/>
      <c r="I733" s="20"/>
      <c r="J733" s="20"/>
      <c r="K733" s="20"/>
      <c r="L733" s="20"/>
      <c r="M733" s="20"/>
      <c r="N733" s="20"/>
      <c r="O733" s="20"/>
      <c r="P733" s="20"/>
    </row>
    <row r="734" ht="15.75" customHeight="1">
      <c r="A734" s="20"/>
      <c r="B734" s="20"/>
      <c r="C734" s="20"/>
      <c r="D734" s="20"/>
      <c r="E734" s="20"/>
      <c r="F734" s="20"/>
      <c r="G734" s="20"/>
      <c r="H734" s="20"/>
      <c r="I734" s="20"/>
      <c r="J734" s="20"/>
      <c r="K734" s="20"/>
      <c r="L734" s="20"/>
      <c r="M734" s="20"/>
      <c r="N734" s="20"/>
      <c r="O734" s="20"/>
      <c r="P734" s="20"/>
    </row>
    <row r="735" ht="15.75" customHeight="1">
      <c r="A735" s="20"/>
      <c r="B735" s="20"/>
      <c r="C735" s="20"/>
      <c r="D735" s="20"/>
      <c r="E735" s="20"/>
      <c r="F735" s="20"/>
      <c r="G735" s="20"/>
      <c r="H735" s="20"/>
      <c r="I735" s="20"/>
      <c r="J735" s="20"/>
      <c r="K735" s="20"/>
      <c r="L735" s="20"/>
      <c r="M735" s="20"/>
      <c r="N735" s="20"/>
      <c r="O735" s="20"/>
      <c r="P735" s="20"/>
    </row>
    <row r="736" ht="15.75" customHeight="1">
      <c r="A736" s="20"/>
      <c r="B736" s="20"/>
      <c r="C736" s="20"/>
      <c r="D736" s="20"/>
      <c r="E736" s="20"/>
      <c r="F736" s="20"/>
      <c r="G736" s="20"/>
      <c r="H736" s="20"/>
      <c r="I736" s="20"/>
      <c r="J736" s="20"/>
      <c r="K736" s="20"/>
      <c r="L736" s="20"/>
      <c r="M736" s="20"/>
      <c r="N736" s="20"/>
      <c r="O736" s="20"/>
      <c r="P736" s="20"/>
    </row>
    <row r="737" ht="15.75" customHeight="1">
      <c r="A737" s="20"/>
      <c r="B737" s="20"/>
      <c r="C737" s="20"/>
      <c r="D737" s="20"/>
      <c r="E737" s="20"/>
      <c r="F737" s="20"/>
      <c r="G737" s="20"/>
      <c r="H737" s="20"/>
      <c r="I737" s="20"/>
      <c r="J737" s="20"/>
      <c r="K737" s="20"/>
      <c r="L737" s="20"/>
      <c r="M737" s="20"/>
      <c r="N737" s="20"/>
      <c r="O737" s="20"/>
      <c r="P737" s="20"/>
    </row>
    <row r="738" ht="15.75" customHeight="1">
      <c r="A738" s="20"/>
      <c r="B738" s="20"/>
      <c r="C738" s="20"/>
      <c r="D738" s="20"/>
      <c r="E738" s="20"/>
      <c r="F738" s="20"/>
      <c r="G738" s="20"/>
      <c r="H738" s="20"/>
      <c r="I738" s="20"/>
      <c r="J738" s="20"/>
      <c r="K738" s="20"/>
      <c r="L738" s="20"/>
      <c r="M738" s="20"/>
      <c r="N738" s="20"/>
      <c r="O738" s="20"/>
      <c r="P738" s="20"/>
    </row>
    <row r="739" ht="15.75" customHeight="1">
      <c r="A739" s="20"/>
      <c r="B739" s="20"/>
      <c r="C739" s="20"/>
      <c r="D739" s="20"/>
      <c r="E739" s="20"/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</row>
    <row r="740" ht="15.75" customHeight="1">
      <c r="A740" s="20"/>
      <c r="B740" s="20"/>
      <c r="C740" s="20"/>
      <c r="D740" s="20"/>
      <c r="E740" s="20"/>
      <c r="F740" s="20"/>
      <c r="G740" s="20"/>
      <c r="H740" s="20"/>
      <c r="I740" s="20"/>
      <c r="J740" s="20"/>
      <c r="K740" s="20"/>
      <c r="L740" s="20"/>
      <c r="M740" s="20"/>
      <c r="N740" s="20"/>
      <c r="O740" s="20"/>
      <c r="P740" s="20"/>
    </row>
    <row r="741" ht="15.75" customHeight="1">
      <c r="A741" s="20"/>
      <c r="B741" s="20"/>
      <c r="C741" s="20"/>
      <c r="D741" s="20"/>
      <c r="E741" s="20"/>
      <c r="F741" s="20"/>
      <c r="G741" s="20"/>
      <c r="H741" s="20"/>
      <c r="I741" s="20"/>
      <c r="J741" s="20"/>
      <c r="K741" s="20"/>
      <c r="L741" s="20"/>
      <c r="M741" s="20"/>
      <c r="N741" s="20"/>
      <c r="O741" s="20"/>
      <c r="P741" s="20"/>
    </row>
    <row r="742" ht="15.75" customHeight="1">
      <c r="A742" s="20"/>
      <c r="B742" s="20"/>
      <c r="C742" s="20"/>
      <c r="D742" s="20"/>
      <c r="E742" s="20"/>
      <c r="F742" s="20"/>
      <c r="G742" s="20"/>
      <c r="H742" s="20"/>
      <c r="I742" s="20"/>
      <c r="J742" s="20"/>
      <c r="K742" s="20"/>
      <c r="L742" s="20"/>
      <c r="M742" s="20"/>
      <c r="N742" s="20"/>
      <c r="O742" s="20"/>
      <c r="P742" s="20"/>
    </row>
    <row r="743" ht="15.75" customHeight="1">
      <c r="A743" s="20"/>
      <c r="B743" s="20"/>
      <c r="C743" s="20"/>
      <c r="D743" s="20"/>
      <c r="E743" s="20"/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</row>
    <row r="744" ht="15.75" customHeight="1">
      <c r="A744" s="20"/>
      <c r="B744" s="20"/>
      <c r="C744" s="20"/>
      <c r="D744" s="20"/>
      <c r="E744" s="20"/>
      <c r="F744" s="20"/>
      <c r="G744" s="20"/>
      <c r="H744" s="20"/>
      <c r="I744" s="20"/>
      <c r="J744" s="20"/>
      <c r="K744" s="20"/>
      <c r="L744" s="20"/>
      <c r="M744" s="20"/>
      <c r="N744" s="20"/>
      <c r="O744" s="20"/>
      <c r="P744" s="20"/>
    </row>
    <row r="745" ht="15.75" customHeight="1">
      <c r="A745" s="20"/>
      <c r="B745" s="20"/>
      <c r="C745" s="20"/>
      <c r="D745" s="20"/>
      <c r="E745" s="20"/>
      <c r="F745" s="20"/>
      <c r="G745" s="20"/>
      <c r="H745" s="20"/>
      <c r="I745" s="20"/>
      <c r="J745" s="20"/>
      <c r="K745" s="20"/>
      <c r="L745" s="20"/>
      <c r="M745" s="20"/>
      <c r="N745" s="20"/>
      <c r="O745" s="20"/>
      <c r="P745" s="20"/>
    </row>
    <row r="746" ht="15.75" customHeight="1">
      <c r="A746" s="20"/>
      <c r="B746" s="20"/>
      <c r="C746" s="20"/>
      <c r="D746" s="20"/>
      <c r="E746" s="20"/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</row>
    <row r="747" ht="15.75" customHeight="1">
      <c r="A747" s="20"/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</row>
    <row r="748" ht="15.75" customHeight="1">
      <c r="A748" s="20"/>
      <c r="B748" s="20"/>
      <c r="C748" s="20"/>
      <c r="D748" s="20"/>
      <c r="E748" s="20"/>
      <c r="F748" s="20"/>
      <c r="G748" s="20"/>
      <c r="H748" s="20"/>
      <c r="I748" s="20"/>
      <c r="J748" s="20"/>
      <c r="K748" s="20"/>
      <c r="L748" s="20"/>
      <c r="M748" s="20"/>
      <c r="N748" s="20"/>
      <c r="O748" s="20"/>
      <c r="P748" s="20"/>
    </row>
    <row r="749" ht="15.75" customHeight="1">
      <c r="A749" s="20"/>
      <c r="B749" s="20"/>
      <c r="C749" s="20"/>
      <c r="D749" s="20"/>
      <c r="E749" s="20"/>
      <c r="F749" s="20"/>
      <c r="G749" s="20"/>
      <c r="H749" s="20"/>
      <c r="I749" s="20"/>
      <c r="J749" s="20"/>
      <c r="K749" s="20"/>
      <c r="L749" s="20"/>
      <c r="M749" s="20"/>
      <c r="N749" s="20"/>
      <c r="O749" s="20"/>
      <c r="P749" s="20"/>
    </row>
    <row r="750" ht="15.75" customHeight="1">
      <c r="A750" s="20"/>
      <c r="B750" s="20"/>
      <c r="C750" s="20"/>
      <c r="D750" s="20"/>
      <c r="E750" s="20"/>
      <c r="F750" s="20"/>
      <c r="G750" s="20"/>
      <c r="H750" s="20"/>
      <c r="I750" s="20"/>
      <c r="J750" s="20"/>
      <c r="K750" s="20"/>
      <c r="L750" s="20"/>
      <c r="M750" s="20"/>
      <c r="N750" s="20"/>
      <c r="O750" s="20"/>
      <c r="P750" s="20"/>
    </row>
    <row r="751" ht="15.75" customHeight="1">
      <c r="A751" s="20"/>
      <c r="B751" s="20"/>
      <c r="C751" s="20"/>
      <c r="D751" s="20"/>
      <c r="E751" s="20"/>
      <c r="F751" s="20"/>
      <c r="G751" s="20"/>
      <c r="H751" s="20"/>
      <c r="I751" s="20"/>
      <c r="J751" s="20"/>
      <c r="K751" s="20"/>
      <c r="L751" s="20"/>
      <c r="M751" s="20"/>
      <c r="N751" s="20"/>
      <c r="O751" s="20"/>
      <c r="P751" s="20"/>
    </row>
    <row r="752" ht="15.75" customHeight="1">
      <c r="A752" s="20"/>
      <c r="B752" s="20"/>
      <c r="C752" s="20"/>
      <c r="D752" s="20"/>
      <c r="E752" s="20"/>
      <c r="F752" s="20"/>
      <c r="G752" s="20"/>
      <c r="H752" s="20"/>
      <c r="I752" s="20"/>
      <c r="J752" s="20"/>
      <c r="K752" s="20"/>
      <c r="L752" s="20"/>
      <c r="M752" s="20"/>
      <c r="N752" s="20"/>
      <c r="O752" s="20"/>
      <c r="P752" s="20"/>
    </row>
    <row r="753" ht="15.75" customHeight="1">
      <c r="A753" s="20"/>
      <c r="B753" s="20"/>
      <c r="C753" s="20"/>
      <c r="D753" s="20"/>
      <c r="E753" s="20"/>
      <c r="F753" s="20"/>
      <c r="G753" s="20"/>
      <c r="H753" s="20"/>
      <c r="I753" s="20"/>
      <c r="J753" s="20"/>
      <c r="K753" s="20"/>
      <c r="L753" s="20"/>
      <c r="M753" s="20"/>
      <c r="N753" s="20"/>
      <c r="O753" s="20"/>
      <c r="P753" s="20"/>
    </row>
    <row r="754" ht="15.75" customHeight="1">
      <c r="A754" s="20"/>
      <c r="B754" s="20"/>
      <c r="C754" s="20"/>
      <c r="D754" s="20"/>
      <c r="E754" s="20"/>
      <c r="F754" s="20"/>
      <c r="G754" s="20"/>
      <c r="H754" s="20"/>
      <c r="I754" s="20"/>
      <c r="J754" s="20"/>
      <c r="K754" s="20"/>
      <c r="L754" s="20"/>
      <c r="M754" s="20"/>
      <c r="N754" s="20"/>
      <c r="O754" s="20"/>
      <c r="P754" s="20"/>
    </row>
    <row r="755" ht="15.75" customHeight="1">
      <c r="A755" s="20"/>
      <c r="B755" s="20"/>
      <c r="C755" s="20"/>
      <c r="D755" s="20"/>
      <c r="E755" s="20"/>
      <c r="F755" s="20"/>
      <c r="G755" s="20"/>
      <c r="H755" s="20"/>
      <c r="I755" s="20"/>
      <c r="J755" s="20"/>
      <c r="K755" s="20"/>
      <c r="L755" s="20"/>
      <c r="M755" s="20"/>
      <c r="N755" s="20"/>
      <c r="O755" s="20"/>
      <c r="P755" s="20"/>
    </row>
    <row r="756" ht="15.75" customHeight="1">
      <c r="A756" s="20"/>
      <c r="B756" s="20"/>
      <c r="C756" s="20"/>
      <c r="D756" s="20"/>
      <c r="E756" s="20"/>
      <c r="F756" s="20"/>
      <c r="G756" s="20"/>
      <c r="H756" s="20"/>
      <c r="I756" s="20"/>
      <c r="J756" s="20"/>
      <c r="K756" s="20"/>
      <c r="L756" s="20"/>
      <c r="M756" s="20"/>
      <c r="N756" s="20"/>
      <c r="O756" s="20"/>
      <c r="P756" s="20"/>
    </row>
    <row r="757" ht="15.75" customHeight="1">
      <c r="A757" s="20"/>
      <c r="B757" s="20"/>
      <c r="C757" s="20"/>
      <c r="D757" s="20"/>
      <c r="E757" s="20"/>
      <c r="F757" s="20"/>
      <c r="G757" s="20"/>
      <c r="H757" s="20"/>
      <c r="I757" s="20"/>
      <c r="J757" s="20"/>
      <c r="K757" s="20"/>
      <c r="L757" s="20"/>
      <c r="M757" s="20"/>
      <c r="N757" s="20"/>
      <c r="O757" s="20"/>
      <c r="P757" s="20"/>
    </row>
    <row r="758" ht="15.75" customHeight="1">
      <c r="A758" s="20"/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</row>
    <row r="759" ht="15.75" customHeight="1">
      <c r="A759" s="20"/>
      <c r="B759" s="20"/>
      <c r="C759" s="20"/>
      <c r="D759" s="20"/>
      <c r="E759" s="20"/>
      <c r="F759" s="20"/>
      <c r="G759" s="20"/>
      <c r="H759" s="20"/>
      <c r="I759" s="20"/>
      <c r="J759" s="20"/>
      <c r="K759" s="20"/>
      <c r="L759" s="20"/>
      <c r="M759" s="20"/>
      <c r="N759" s="20"/>
      <c r="O759" s="20"/>
      <c r="P759" s="20"/>
    </row>
    <row r="760" ht="15.75" customHeight="1">
      <c r="A760" s="20"/>
      <c r="B760" s="20"/>
      <c r="C760" s="20"/>
      <c r="D760" s="20"/>
      <c r="E760" s="20"/>
      <c r="F760" s="20"/>
      <c r="G760" s="20"/>
      <c r="H760" s="20"/>
      <c r="I760" s="20"/>
      <c r="J760" s="20"/>
      <c r="K760" s="20"/>
      <c r="L760" s="20"/>
      <c r="M760" s="20"/>
      <c r="N760" s="20"/>
      <c r="O760" s="20"/>
      <c r="P760" s="20"/>
    </row>
    <row r="761" ht="15.75" customHeight="1">
      <c r="A761" s="20"/>
      <c r="B761" s="20"/>
      <c r="C761" s="20"/>
      <c r="D761" s="20"/>
      <c r="E761" s="20"/>
      <c r="F761" s="20"/>
      <c r="G761" s="20"/>
      <c r="H761" s="20"/>
      <c r="I761" s="20"/>
      <c r="J761" s="20"/>
      <c r="K761" s="20"/>
      <c r="L761" s="20"/>
      <c r="M761" s="20"/>
      <c r="N761" s="20"/>
      <c r="O761" s="20"/>
      <c r="P761" s="20"/>
    </row>
    <row r="762" ht="15.75" customHeight="1">
      <c r="A762" s="20"/>
      <c r="B762" s="20"/>
      <c r="C762" s="20"/>
      <c r="D762" s="20"/>
      <c r="E762" s="20"/>
      <c r="F762" s="20"/>
      <c r="G762" s="20"/>
      <c r="H762" s="20"/>
      <c r="I762" s="20"/>
      <c r="J762" s="20"/>
      <c r="K762" s="20"/>
      <c r="L762" s="20"/>
      <c r="M762" s="20"/>
      <c r="N762" s="20"/>
      <c r="O762" s="20"/>
      <c r="P762" s="20"/>
    </row>
    <row r="763" ht="15.75" customHeight="1">
      <c r="A763" s="20"/>
      <c r="B763" s="20"/>
      <c r="C763" s="20"/>
      <c r="D763" s="20"/>
      <c r="E763" s="20"/>
      <c r="F763" s="20"/>
      <c r="G763" s="20"/>
      <c r="H763" s="20"/>
      <c r="I763" s="20"/>
      <c r="J763" s="20"/>
      <c r="K763" s="20"/>
      <c r="L763" s="20"/>
      <c r="M763" s="20"/>
      <c r="N763" s="20"/>
      <c r="O763" s="20"/>
      <c r="P763" s="20"/>
    </row>
    <row r="764" ht="15.75" customHeight="1">
      <c r="A764" s="20"/>
      <c r="B764" s="20"/>
      <c r="C764" s="20"/>
      <c r="D764" s="20"/>
      <c r="E764" s="20"/>
      <c r="F764" s="20"/>
      <c r="G764" s="20"/>
      <c r="H764" s="20"/>
      <c r="I764" s="20"/>
      <c r="J764" s="20"/>
      <c r="K764" s="20"/>
      <c r="L764" s="20"/>
      <c r="M764" s="20"/>
      <c r="N764" s="20"/>
      <c r="O764" s="20"/>
      <c r="P764" s="20"/>
    </row>
    <row r="765" ht="15.75" customHeight="1">
      <c r="A765" s="20"/>
      <c r="B765" s="20"/>
      <c r="C765" s="20"/>
      <c r="D765" s="20"/>
      <c r="E765" s="20"/>
      <c r="F765" s="20"/>
      <c r="G765" s="20"/>
      <c r="H765" s="20"/>
      <c r="I765" s="20"/>
      <c r="J765" s="20"/>
      <c r="K765" s="20"/>
      <c r="L765" s="20"/>
      <c r="M765" s="20"/>
      <c r="N765" s="20"/>
      <c r="O765" s="20"/>
      <c r="P765" s="20"/>
    </row>
    <row r="766" ht="15.75" customHeight="1">
      <c r="A766" s="20"/>
      <c r="B766" s="20"/>
      <c r="C766" s="20"/>
      <c r="D766" s="20"/>
      <c r="E766" s="20"/>
      <c r="F766" s="20"/>
      <c r="G766" s="20"/>
      <c r="H766" s="20"/>
      <c r="I766" s="20"/>
      <c r="J766" s="20"/>
      <c r="K766" s="20"/>
      <c r="L766" s="20"/>
      <c r="M766" s="20"/>
      <c r="N766" s="20"/>
      <c r="O766" s="20"/>
      <c r="P766" s="20"/>
    </row>
    <row r="767" ht="15.75" customHeight="1">
      <c r="A767" s="20"/>
      <c r="B767" s="20"/>
      <c r="C767" s="20"/>
      <c r="D767" s="20"/>
      <c r="E767" s="20"/>
      <c r="F767" s="20"/>
      <c r="G767" s="20"/>
      <c r="H767" s="20"/>
      <c r="I767" s="20"/>
      <c r="J767" s="20"/>
      <c r="K767" s="20"/>
      <c r="L767" s="20"/>
      <c r="M767" s="20"/>
      <c r="N767" s="20"/>
      <c r="O767" s="20"/>
      <c r="P767" s="20"/>
    </row>
    <row r="768" ht="15.75" customHeight="1">
      <c r="A768" s="20"/>
      <c r="B768" s="20"/>
      <c r="C768" s="20"/>
      <c r="D768" s="20"/>
      <c r="E768" s="20"/>
      <c r="F768" s="20"/>
      <c r="G768" s="20"/>
      <c r="H768" s="20"/>
      <c r="I768" s="20"/>
      <c r="J768" s="20"/>
      <c r="K768" s="20"/>
      <c r="L768" s="20"/>
      <c r="M768" s="20"/>
      <c r="N768" s="20"/>
      <c r="O768" s="20"/>
      <c r="P768" s="20"/>
    </row>
    <row r="769" ht="15.75" customHeight="1">
      <c r="A769" s="20"/>
      <c r="B769" s="20"/>
      <c r="C769" s="20"/>
      <c r="D769" s="20"/>
      <c r="E769" s="20"/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</row>
    <row r="770" ht="15.75" customHeight="1">
      <c r="A770" s="20"/>
      <c r="B770" s="20"/>
      <c r="C770" s="20"/>
      <c r="D770" s="20"/>
      <c r="E770" s="20"/>
      <c r="F770" s="20"/>
      <c r="G770" s="20"/>
      <c r="H770" s="20"/>
      <c r="I770" s="20"/>
      <c r="J770" s="20"/>
      <c r="K770" s="20"/>
      <c r="L770" s="20"/>
      <c r="M770" s="20"/>
      <c r="N770" s="20"/>
      <c r="O770" s="20"/>
      <c r="P770" s="20"/>
    </row>
    <row r="771" ht="15.75" customHeight="1">
      <c r="A771" s="20"/>
      <c r="B771" s="20"/>
      <c r="C771" s="20"/>
      <c r="D771" s="20"/>
      <c r="E771" s="20"/>
      <c r="F771" s="20"/>
      <c r="G771" s="20"/>
      <c r="H771" s="20"/>
      <c r="I771" s="20"/>
      <c r="J771" s="20"/>
      <c r="K771" s="20"/>
      <c r="L771" s="20"/>
      <c r="M771" s="20"/>
      <c r="N771" s="20"/>
      <c r="O771" s="20"/>
      <c r="P771" s="20"/>
    </row>
    <row r="772" ht="15.75" customHeight="1">
      <c r="A772" s="20"/>
      <c r="B772" s="20"/>
      <c r="C772" s="20"/>
      <c r="D772" s="20"/>
      <c r="E772" s="20"/>
      <c r="F772" s="20"/>
      <c r="G772" s="20"/>
      <c r="H772" s="20"/>
      <c r="I772" s="20"/>
      <c r="J772" s="20"/>
      <c r="K772" s="20"/>
      <c r="L772" s="20"/>
      <c r="M772" s="20"/>
      <c r="N772" s="20"/>
      <c r="O772" s="20"/>
      <c r="P772" s="20"/>
    </row>
    <row r="773" ht="15.75" customHeight="1">
      <c r="A773" s="20"/>
      <c r="B773" s="20"/>
      <c r="C773" s="20"/>
      <c r="D773" s="20"/>
      <c r="E773" s="20"/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</row>
    <row r="774" ht="15.75" customHeight="1">
      <c r="A774" s="20"/>
      <c r="B774" s="20"/>
      <c r="C774" s="20"/>
      <c r="D774" s="20"/>
      <c r="E774" s="20"/>
      <c r="F774" s="20"/>
      <c r="G774" s="20"/>
      <c r="H774" s="20"/>
      <c r="I774" s="20"/>
      <c r="J774" s="20"/>
      <c r="K774" s="20"/>
      <c r="L774" s="20"/>
      <c r="M774" s="20"/>
      <c r="N774" s="20"/>
      <c r="O774" s="20"/>
      <c r="P774" s="20"/>
    </row>
    <row r="775" ht="15.75" customHeight="1">
      <c r="A775" s="20"/>
      <c r="B775" s="20"/>
      <c r="C775" s="20"/>
      <c r="D775" s="20"/>
      <c r="E775" s="20"/>
      <c r="F775" s="20"/>
      <c r="G775" s="20"/>
      <c r="H775" s="20"/>
      <c r="I775" s="20"/>
      <c r="J775" s="20"/>
      <c r="K775" s="20"/>
      <c r="L775" s="20"/>
      <c r="M775" s="20"/>
      <c r="N775" s="20"/>
      <c r="O775" s="20"/>
      <c r="P775" s="20"/>
    </row>
    <row r="776" ht="15.75" customHeight="1">
      <c r="A776" s="20"/>
      <c r="B776" s="20"/>
      <c r="C776" s="20"/>
      <c r="D776" s="20"/>
      <c r="E776" s="20"/>
      <c r="F776" s="20"/>
      <c r="G776" s="20"/>
      <c r="H776" s="20"/>
      <c r="I776" s="20"/>
      <c r="J776" s="20"/>
      <c r="K776" s="20"/>
      <c r="L776" s="20"/>
      <c r="M776" s="20"/>
      <c r="N776" s="20"/>
      <c r="O776" s="20"/>
      <c r="P776" s="20"/>
    </row>
    <row r="777" ht="15.75" customHeight="1">
      <c r="A777" s="20"/>
      <c r="B777" s="20"/>
      <c r="C777" s="20"/>
      <c r="D777" s="20"/>
      <c r="E777" s="20"/>
      <c r="F777" s="20"/>
      <c r="G777" s="20"/>
      <c r="H777" s="20"/>
      <c r="I777" s="20"/>
      <c r="J777" s="20"/>
      <c r="K777" s="20"/>
      <c r="L777" s="20"/>
      <c r="M777" s="20"/>
      <c r="N777" s="20"/>
      <c r="O777" s="20"/>
      <c r="P777" s="20"/>
    </row>
    <row r="778" ht="15.75" customHeight="1">
      <c r="A778" s="20"/>
      <c r="B778" s="20"/>
      <c r="C778" s="20"/>
      <c r="D778" s="20"/>
      <c r="E778" s="20"/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</row>
    <row r="779" ht="15.75" customHeight="1">
      <c r="A779" s="20"/>
      <c r="B779" s="20"/>
      <c r="C779" s="20"/>
      <c r="D779" s="20"/>
      <c r="E779" s="20"/>
      <c r="F779" s="20"/>
      <c r="G779" s="20"/>
      <c r="H779" s="20"/>
      <c r="I779" s="20"/>
      <c r="J779" s="20"/>
      <c r="K779" s="20"/>
      <c r="L779" s="20"/>
      <c r="M779" s="20"/>
      <c r="N779" s="20"/>
      <c r="O779" s="20"/>
      <c r="P779" s="20"/>
    </row>
    <row r="780" ht="15.75" customHeight="1">
      <c r="A780" s="20"/>
      <c r="B780" s="20"/>
      <c r="C780" s="20"/>
      <c r="D780" s="20"/>
      <c r="E780" s="20"/>
      <c r="F780" s="20"/>
      <c r="G780" s="20"/>
      <c r="H780" s="20"/>
      <c r="I780" s="20"/>
      <c r="J780" s="20"/>
      <c r="K780" s="20"/>
      <c r="L780" s="20"/>
      <c r="M780" s="20"/>
      <c r="N780" s="20"/>
      <c r="O780" s="20"/>
      <c r="P780" s="20"/>
    </row>
    <row r="781" ht="15.75" customHeight="1">
      <c r="A781" s="20"/>
      <c r="B781" s="20"/>
      <c r="C781" s="20"/>
      <c r="D781" s="20"/>
      <c r="E781" s="20"/>
      <c r="F781" s="20"/>
      <c r="G781" s="20"/>
      <c r="H781" s="20"/>
      <c r="I781" s="20"/>
      <c r="J781" s="20"/>
      <c r="K781" s="20"/>
      <c r="L781" s="20"/>
      <c r="M781" s="20"/>
      <c r="N781" s="20"/>
      <c r="O781" s="20"/>
      <c r="P781" s="20"/>
    </row>
    <row r="782" ht="15.75" customHeight="1">
      <c r="A782" s="20"/>
      <c r="B782" s="20"/>
      <c r="C782" s="20"/>
      <c r="D782" s="20"/>
      <c r="E782" s="20"/>
      <c r="F782" s="20"/>
      <c r="G782" s="20"/>
      <c r="H782" s="20"/>
      <c r="I782" s="20"/>
      <c r="J782" s="20"/>
      <c r="K782" s="20"/>
      <c r="L782" s="20"/>
      <c r="M782" s="20"/>
      <c r="N782" s="20"/>
      <c r="O782" s="20"/>
      <c r="P782" s="20"/>
    </row>
    <row r="783" ht="15.75" customHeight="1">
      <c r="A783" s="20"/>
      <c r="B783" s="20"/>
      <c r="C783" s="20"/>
      <c r="D783" s="20"/>
      <c r="E783" s="20"/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</row>
    <row r="784" ht="15.75" customHeight="1">
      <c r="A784" s="20"/>
      <c r="B784" s="20"/>
      <c r="C784" s="20"/>
      <c r="D784" s="20"/>
      <c r="E784" s="20"/>
      <c r="F784" s="20"/>
      <c r="G784" s="20"/>
      <c r="H784" s="20"/>
      <c r="I784" s="20"/>
      <c r="J784" s="20"/>
      <c r="K784" s="20"/>
      <c r="L784" s="20"/>
      <c r="M784" s="20"/>
      <c r="N784" s="20"/>
      <c r="O784" s="20"/>
      <c r="P784" s="20"/>
    </row>
    <row r="785" ht="15.75" customHeight="1">
      <c r="A785" s="20"/>
      <c r="B785" s="20"/>
      <c r="C785" s="20"/>
      <c r="D785" s="20"/>
      <c r="E785" s="20"/>
      <c r="F785" s="20"/>
      <c r="G785" s="20"/>
      <c r="H785" s="20"/>
      <c r="I785" s="20"/>
      <c r="J785" s="20"/>
      <c r="K785" s="20"/>
      <c r="L785" s="20"/>
      <c r="M785" s="20"/>
      <c r="N785" s="20"/>
      <c r="O785" s="20"/>
      <c r="P785" s="20"/>
    </row>
    <row r="786" ht="15.75" customHeight="1">
      <c r="A786" s="20"/>
      <c r="B786" s="20"/>
      <c r="C786" s="20"/>
      <c r="D786" s="20"/>
      <c r="E786" s="20"/>
      <c r="F786" s="20"/>
      <c r="G786" s="20"/>
      <c r="H786" s="20"/>
      <c r="I786" s="20"/>
      <c r="J786" s="20"/>
      <c r="K786" s="20"/>
      <c r="L786" s="20"/>
      <c r="M786" s="20"/>
      <c r="N786" s="20"/>
      <c r="O786" s="20"/>
      <c r="P786" s="20"/>
    </row>
    <row r="787" ht="15.75" customHeight="1">
      <c r="A787" s="20"/>
      <c r="B787" s="20"/>
      <c r="C787" s="20"/>
      <c r="D787" s="20"/>
      <c r="E787" s="20"/>
      <c r="F787" s="20"/>
      <c r="G787" s="20"/>
      <c r="H787" s="20"/>
      <c r="I787" s="20"/>
      <c r="J787" s="20"/>
      <c r="K787" s="20"/>
      <c r="L787" s="20"/>
      <c r="M787" s="20"/>
      <c r="N787" s="20"/>
      <c r="O787" s="20"/>
      <c r="P787" s="20"/>
    </row>
    <row r="788" ht="15.75" customHeight="1">
      <c r="A788" s="20"/>
      <c r="B788" s="20"/>
      <c r="C788" s="20"/>
      <c r="D788" s="20"/>
      <c r="E788" s="20"/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</row>
    <row r="789" ht="15.75" customHeight="1">
      <c r="A789" s="20"/>
      <c r="B789" s="20"/>
      <c r="C789" s="20"/>
      <c r="D789" s="20"/>
      <c r="E789" s="20"/>
      <c r="F789" s="20"/>
      <c r="G789" s="20"/>
      <c r="H789" s="20"/>
      <c r="I789" s="20"/>
      <c r="J789" s="20"/>
      <c r="K789" s="20"/>
      <c r="L789" s="20"/>
      <c r="M789" s="20"/>
      <c r="N789" s="20"/>
      <c r="O789" s="20"/>
      <c r="P789" s="20"/>
    </row>
    <row r="790" ht="15.75" customHeight="1">
      <c r="A790" s="20"/>
      <c r="B790" s="20"/>
      <c r="C790" s="20"/>
      <c r="D790" s="20"/>
      <c r="E790" s="20"/>
      <c r="F790" s="20"/>
      <c r="G790" s="20"/>
      <c r="H790" s="20"/>
      <c r="I790" s="20"/>
      <c r="J790" s="20"/>
      <c r="K790" s="20"/>
      <c r="L790" s="20"/>
      <c r="M790" s="20"/>
      <c r="N790" s="20"/>
      <c r="O790" s="20"/>
      <c r="P790" s="20"/>
    </row>
    <row r="791" ht="15.75" customHeight="1">
      <c r="A791" s="20"/>
      <c r="B791" s="20"/>
      <c r="C791" s="20"/>
      <c r="D791" s="20"/>
      <c r="E791" s="20"/>
      <c r="F791" s="20"/>
      <c r="G791" s="20"/>
      <c r="H791" s="20"/>
      <c r="I791" s="20"/>
      <c r="J791" s="20"/>
      <c r="K791" s="20"/>
      <c r="L791" s="20"/>
      <c r="M791" s="20"/>
      <c r="N791" s="20"/>
      <c r="O791" s="20"/>
      <c r="P791" s="20"/>
    </row>
    <row r="792" ht="15.75" customHeight="1">
      <c r="A792" s="20"/>
      <c r="B792" s="20"/>
      <c r="C792" s="20"/>
      <c r="D792" s="20"/>
      <c r="E792" s="20"/>
      <c r="F792" s="20"/>
      <c r="G792" s="20"/>
      <c r="H792" s="20"/>
      <c r="I792" s="20"/>
      <c r="J792" s="20"/>
      <c r="K792" s="20"/>
      <c r="L792" s="20"/>
      <c r="M792" s="20"/>
      <c r="N792" s="20"/>
      <c r="O792" s="20"/>
      <c r="P792" s="20"/>
    </row>
    <row r="793" ht="15.75" customHeight="1">
      <c r="A793" s="20"/>
      <c r="B793" s="20"/>
      <c r="C793" s="20"/>
      <c r="D793" s="20"/>
      <c r="E793" s="20"/>
      <c r="F793" s="20"/>
      <c r="G793" s="20"/>
      <c r="H793" s="20"/>
      <c r="I793" s="20"/>
      <c r="J793" s="20"/>
      <c r="K793" s="20"/>
      <c r="L793" s="20"/>
      <c r="M793" s="20"/>
      <c r="N793" s="20"/>
      <c r="O793" s="20"/>
      <c r="P793" s="20"/>
    </row>
    <row r="794" ht="15.75" customHeight="1">
      <c r="A794" s="20"/>
      <c r="B794" s="20"/>
      <c r="C794" s="20"/>
      <c r="D794" s="20"/>
      <c r="E794" s="20"/>
      <c r="F794" s="20"/>
      <c r="G794" s="20"/>
      <c r="H794" s="20"/>
      <c r="I794" s="20"/>
      <c r="J794" s="20"/>
      <c r="K794" s="20"/>
      <c r="L794" s="20"/>
      <c r="M794" s="20"/>
      <c r="N794" s="20"/>
      <c r="O794" s="20"/>
      <c r="P794" s="20"/>
    </row>
    <row r="795" ht="15.75" customHeight="1">
      <c r="A795" s="20"/>
      <c r="B795" s="20"/>
      <c r="C795" s="20"/>
      <c r="D795" s="20"/>
      <c r="E795" s="20"/>
      <c r="F795" s="20"/>
      <c r="G795" s="20"/>
      <c r="H795" s="20"/>
      <c r="I795" s="20"/>
      <c r="J795" s="20"/>
      <c r="K795" s="20"/>
      <c r="L795" s="20"/>
      <c r="M795" s="20"/>
      <c r="N795" s="20"/>
      <c r="O795" s="20"/>
      <c r="P795" s="20"/>
    </row>
    <row r="796" ht="15.75" customHeight="1">
      <c r="A796" s="20"/>
      <c r="B796" s="20"/>
      <c r="C796" s="20"/>
      <c r="D796" s="20"/>
      <c r="E796" s="20"/>
      <c r="F796" s="20"/>
      <c r="G796" s="20"/>
      <c r="H796" s="20"/>
      <c r="I796" s="20"/>
      <c r="J796" s="20"/>
      <c r="K796" s="20"/>
      <c r="L796" s="20"/>
      <c r="M796" s="20"/>
      <c r="N796" s="20"/>
      <c r="O796" s="20"/>
      <c r="P796" s="20"/>
    </row>
    <row r="797" ht="15.75" customHeight="1">
      <c r="A797" s="20"/>
      <c r="B797" s="20"/>
      <c r="C797" s="20"/>
      <c r="D797" s="20"/>
      <c r="E797" s="20"/>
      <c r="F797" s="20"/>
      <c r="G797" s="20"/>
      <c r="H797" s="20"/>
      <c r="I797" s="20"/>
      <c r="J797" s="20"/>
      <c r="K797" s="20"/>
      <c r="L797" s="20"/>
      <c r="M797" s="20"/>
      <c r="N797" s="20"/>
      <c r="O797" s="20"/>
      <c r="P797" s="20"/>
    </row>
    <row r="798" ht="15.75" customHeight="1">
      <c r="A798" s="20"/>
      <c r="B798" s="20"/>
      <c r="C798" s="20"/>
      <c r="D798" s="20"/>
      <c r="E798" s="20"/>
      <c r="F798" s="20"/>
      <c r="G798" s="20"/>
      <c r="H798" s="20"/>
      <c r="I798" s="20"/>
      <c r="J798" s="20"/>
      <c r="K798" s="20"/>
      <c r="L798" s="20"/>
      <c r="M798" s="20"/>
      <c r="N798" s="20"/>
      <c r="O798" s="20"/>
      <c r="P798" s="20"/>
    </row>
    <row r="799" ht="15.75" customHeight="1">
      <c r="A799" s="20"/>
      <c r="B799" s="20"/>
      <c r="C799" s="20"/>
      <c r="D799" s="20"/>
      <c r="E799" s="20"/>
      <c r="F799" s="20"/>
      <c r="G799" s="20"/>
      <c r="H799" s="20"/>
      <c r="I799" s="20"/>
      <c r="J799" s="20"/>
      <c r="K799" s="20"/>
      <c r="L799" s="20"/>
      <c r="M799" s="20"/>
      <c r="N799" s="20"/>
      <c r="O799" s="20"/>
      <c r="P799" s="20"/>
    </row>
    <row r="800" ht="15.75" customHeight="1">
      <c r="A800" s="20"/>
      <c r="B800" s="20"/>
      <c r="C800" s="20"/>
      <c r="D800" s="20"/>
      <c r="E800" s="20"/>
      <c r="F800" s="20"/>
      <c r="G800" s="20"/>
      <c r="H800" s="20"/>
      <c r="I800" s="20"/>
      <c r="J800" s="20"/>
      <c r="K800" s="20"/>
      <c r="L800" s="20"/>
      <c r="M800" s="20"/>
      <c r="N800" s="20"/>
      <c r="O800" s="20"/>
      <c r="P800" s="20"/>
    </row>
    <row r="801" ht="15.75" customHeight="1">
      <c r="A801" s="20"/>
      <c r="B801" s="20"/>
      <c r="C801" s="20"/>
      <c r="D801" s="20"/>
      <c r="E801" s="20"/>
      <c r="F801" s="20"/>
      <c r="G801" s="20"/>
      <c r="H801" s="20"/>
      <c r="I801" s="20"/>
      <c r="J801" s="20"/>
      <c r="K801" s="20"/>
      <c r="L801" s="20"/>
      <c r="M801" s="20"/>
      <c r="N801" s="20"/>
      <c r="O801" s="20"/>
      <c r="P801" s="20"/>
    </row>
    <row r="802" ht="15.75" customHeight="1">
      <c r="A802" s="20"/>
      <c r="B802" s="20"/>
      <c r="C802" s="20"/>
      <c r="D802" s="20"/>
      <c r="E802" s="20"/>
      <c r="F802" s="20"/>
      <c r="G802" s="20"/>
      <c r="H802" s="20"/>
      <c r="I802" s="20"/>
      <c r="J802" s="20"/>
      <c r="K802" s="20"/>
      <c r="L802" s="20"/>
      <c r="M802" s="20"/>
      <c r="N802" s="20"/>
      <c r="O802" s="20"/>
      <c r="P802" s="20"/>
    </row>
    <row r="803" ht="15.75" customHeight="1">
      <c r="A803" s="20"/>
      <c r="B803" s="20"/>
      <c r="C803" s="20"/>
      <c r="D803" s="20"/>
      <c r="E803" s="20"/>
      <c r="F803" s="20"/>
      <c r="G803" s="20"/>
      <c r="H803" s="20"/>
      <c r="I803" s="20"/>
      <c r="J803" s="20"/>
      <c r="K803" s="20"/>
      <c r="L803" s="20"/>
      <c r="M803" s="20"/>
      <c r="N803" s="20"/>
      <c r="O803" s="20"/>
      <c r="P803" s="20"/>
    </row>
    <row r="804" ht="15.75" customHeight="1">
      <c r="A804" s="20"/>
      <c r="B804" s="20"/>
      <c r="C804" s="20"/>
      <c r="D804" s="20"/>
      <c r="E804" s="20"/>
      <c r="F804" s="20"/>
      <c r="G804" s="20"/>
      <c r="H804" s="20"/>
      <c r="I804" s="20"/>
      <c r="J804" s="20"/>
      <c r="K804" s="20"/>
      <c r="L804" s="20"/>
      <c r="M804" s="20"/>
      <c r="N804" s="20"/>
      <c r="O804" s="20"/>
      <c r="P804" s="20"/>
    </row>
    <row r="805" ht="15.75" customHeight="1">
      <c r="A805" s="20"/>
      <c r="B805" s="20"/>
      <c r="C805" s="20"/>
      <c r="D805" s="20"/>
      <c r="E805" s="20"/>
      <c r="F805" s="20"/>
      <c r="G805" s="20"/>
      <c r="H805" s="20"/>
      <c r="I805" s="20"/>
      <c r="J805" s="20"/>
      <c r="K805" s="20"/>
      <c r="L805" s="20"/>
      <c r="M805" s="20"/>
      <c r="N805" s="20"/>
      <c r="O805" s="20"/>
      <c r="P805" s="20"/>
    </row>
    <row r="806" ht="15.75" customHeight="1">
      <c r="A806" s="20"/>
      <c r="B806" s="20"/>
      <c r="C806" s="20"/>
      <c r="D806" s="20"/>
      <c r="E806" s="20"/>
      <c r="F806" s="20"/>
      <c r="G806" s="20"/>
      <c r="H806" s="20"/>
      <c r="I806" s="20"/>
      <c r="J806" s="20"/>
      <c r="K806" s="20"/>
      <c r="L806" s="20"/>
      <c r="M806" s="20"/>
      <c r="N806" s="20"/>
      <c r="O806" s="20"/>
      <c r="P806" s="20"/>
    </row>
    <row r="807" ht="15.75" customHeight="1">
      <c r="A807" s="20"/>
      <c r="B807" s="20"/>
      <c r="C807" s="20"/>
      <c r="D807" s="20"/>
      <c r="E807" s="20"/>
      <c r="F807" s="20"/>
      <c r="G807" s="20"/>
      <c r="H807" s="20"/>
      <c r="I807" s="20"/>
      <c r="J807" s="20"/>
      <c r="K807" s="20"/>
      <c r="L807" s="20"/>
      <c r="M807" s="20"/>
      <c r="N807" s="20"/>
      <c r="O807" s="20"/>
      <c r="P807" s="20"/>
    </row>
    <row r="808" ht="15.75" customHeight="1">
      <c r="A808" s="20"/>
      <c r="B808" s="20"/>
      <c r="C808" s="20"/>
      <c r="D808" s="20"/>
      <c r="E808" s="20"/>
      <c r="F808" s="20"/>
      <c r="G808" s="20"/>
      <c r="H808" s="20"/>
      <c r="I808" s="20"/>
      <c r="J808" s="20"/>
      <c r="K808" s="20"/>
      <c r="L808" s="20"/>
      <c r="M808" s="20"/>
      <c r="N808" s="20"/>
      <c r="O808" s="20"/>
      <c r="P808" s="20"/>
    </row>
    <row r="809" ht="15.75" customHeight="1">
      <c r="A809" s="20"/>
      <c r="B809" s="20"/>
      <c r="C809" s="20"/>
      <c r="D809" s="20"/>
      <c r="E809" s="20"/>
      <c r="F809" s="20"/>
      <c r="G809" s="20"/>
      <c r="H809" s="20"/>
      <c r="I809" s="20"/>
      <c r="J809" s="20"/>
      <c r="K809" s="20"/>
      <c r="L809" s="20"/>
      <c r="M809" s="20"/>
      <c r="N809" s="20"/>
      <c r="O809" s="20"/>
      <c r="P809" s="20"/>
    </row>
    <row r="810" ht="15.75" customHeight="1">
      <c r="A810" s="20"/>
      <c r="B810" s="20"/>
      <c r="C810" s="20"/>
      <c r="D810" s="20"/>
      <c r="E810" s="20"/>
      <c r="F810" s="20"/>
      <c r="G810" s="20"/>
      <c r="H810" s="20"/>
      <c r="I810" s="20"/>
      <c r="J810" s="20"/>
      <c r="K810" s="20"/>
      <c r="L810" s="20"/>
      <c r="M810" s="20"/>
      <c r="N810" s="20"/>
      <c r="O810" s="20"/>
      <c r="P810" s="20"/>
    </row>
    <row r="811" ht="15.75" customHeight="1">
      <c r="A811" s="20"/>
      <c r="B811" s="20"/>
      <c r="C811" s="20"/>
      <c r="D811" s="20"/>
      <c r="E811" s="20"/>
      <c r="F811" s="20"/>
      <c r="G811" s="20"/>
      <c r="H811" s="20"/>
      <c r="I811" s="20"/>
      <c r="J811" s="20"/>
      <c r="K811" s="20"/>
      <c r="L811" s="20"/>
      <c r="M811" s="20"/>
      <c r="N811" s="20"/>
      <c r="O811" s="20"/>
      <c r="P811" s="20"/>
    </row>
    <row r="812" ht="15.75" customHeight="1">
      <c r="A812" s="20"/>
      <c r="B812" s="20"/>
      <c r="C812" s="20"/>
      <c r="D812" s="20"/>
      <c r="E812" s="20"/>
      <c r="F812" s="20"/>
      <c r="G812" s="20"/>
      <c r="H812" s="20"/>
      <c r="I812" s="20"/>
      <c r="J812" s="20"/>
      <c r="K812" s="20"/>
      <c r="L812" s="20"/>
      <c r="M812" s="20"/>
      <c r="N812" s="20"/>
      <c r="O812" s="20"/>
      <c r="P812" s="20"/>
    </row>
    <row r="813" ht="15.75" customHeight="1">
      <c r="A813" s="20"/>
      <c r="B813" s="20"/>
      <c r="C813" s="20"/>
      <c r="D813" s="20"/>
      <c r="E813" s="20"/>
      <c r="F813" s="20"/>
      <c r="G813" s="20"/>
      <c r="H813" s="20"/>
      <c r="I813" s="20"/>
      <c r="J813" s="20"/>
      <c r="K813" s="20"/>
      <c r="L813" s="20"/>
      <c r="M813" s="20"/>
      <c r="N813" s="20"/>
      <c r="O813" s="20"/>
      <c r="P813" s="20"/>
    </row>
    <row r="814" ht="15.75" customHeight="1">
      <c r="A814" s="20"/>
      <c r="B814" s="20"/>
      <c r="C814" s="20"/>
      <c r="D814" s="20"/>
      <c r="E814" s="20"/>
      <c r="F814" s="20"/>
      <c r="G814" s="20"/>
      <c r="H814" s="20"/>
      <c r="I814" s="20"/>
      <c r="J814" s="20"/>
      <c r="K814" s="20"/>
      <c r="L814" s="20"/>
      <c r="M814" s="20"/>
      <c r="N814" s="20"/>
      <c r="O814" s="20"/>
      <c r="P814" s="20"/>
    </row>
    <row r="815" ht="15.75" customHeight="1">
      <c r="A815" s="20"/>
      <c r="B815" s="20"/>
      <c r="C815" s="20"/>
      <c r="D815" s="20"/>
      <c r="E815" s="20"/>
      <c r="F815" s="20"/>
      <c r="G815" s="20"/>
      <c r="H815" s="20"/>
      <c r="I815" s="20"/>
      <c r="J815" s="20"/>
      <c r="K815" s="20"/>
      <c r="L815" s="20"/>
      <c r="M815" s="20"/>
      <c r="N815" s="20"/>
      <c r="O815" s="20"/>
      <c r="P815" s="20"/>
    </row>
    <row r="816" ht="15.75" customHeight="1">
      <c r="A816" s="20"/>
      <c r="B816" s="20"/>
      <c r="C816" s="20"/>
      <c r="D816" s="20"/>
      <c r="E816" s="20"/>
      <c r="F816" s="20"/>
      <c r="G816" s="20"/>
      <c r="H816" s="20"/>
      <c r="I816" s="20"/>
      <c r="J816" s="20"/>
      <c r="K816" s="20"/>
      <c r="L816" s="20"/>
      <c r="M816" s="20"/>
      <c r="N816" s="20"/>
      <c r="O816" s="20"/>
      <c r="P816" s="20"/>
    </row>
    <row r="817" ht="15.75" customHeight="1">
      <c r="A817" s="20"/>
      <c r="B817" s="20"/>
      <c r="C817" s="20"/>
      <c r="D817" s="20"/>
      <c r="E817" s="20"/>
      <c r="F817" s="20"/>
      <c r="G817" s="20"/>
      <c r="H817" s="20"/>
      <c r="I817" s="20"/>
      <c r="J817" s="20"/>
      <c r="K817" s="20"/>
      <c r="L817" s="20"/>
      <c r="M817" s="20"/>
      <c r="N817" s="20"/>
      <c r="O817" s="20"/>
      <c r="P817" s="20"/>
    </row>
    <row r="818" ht="15.75" customHeight="1">
      <c r="A818" s="20"/>
      <c r="B818" s="20"/>
      <c r="C818" s="20"/>
      <c r="D818" s="20"/>
      <c r="E818" s="20"/>
      <c r="F818" s="20"/>
      <c r="G818" s="20"/>
      <c r="H818" s="20"/>
      <c r="I818" s="20"/>
      <c r="J818" s="20"/>
      <c r="K818" s="20"/>
      <c r="L818" s="20"/>
      <c r="M818" s="20"/>
      <c r="N818" s="20"/>
      <c r="O818" s="20"/>
      <c r="P818" s="20"/>
    </row>
    <row r="819" ht="15.75" customHeight="1">
      <c r="A819" s="20"/>
      <c r="B819" s="20"/>
      <c r="C819" s="20"/>
      <c r="D819" s="20"/>
      <c r="E819" s="20"/>
      <c r="F819" s="20"/>
      <c r="G819" s="20"/>
      <c r="H819" s="20"/>
      <c r="I819" s="20"/>
      <c r="J819" s="20"/>
      <c r="K819" s="20"/>
      <c r="L819" s="20"/>
      <c r="M819" s="20"/>
      <c r="N819" s="20"/>
      <c r="O819" s="20"/>
      <c r="P819" s="20"/>
    </row>
    <row r="820" ht="15.75" customHeight="1">
      <c r="A820" s="20"/>
      <c r="B820" s="20"/>
      <c r="C820" s="20"/>
      <c r="D820" s="20"/>
      <c r="E820" s="20"/>
      <c r="F820" s="20"/>
      <c r="G820" s="20"/>
      <c r="H820" s="20"/>
      <c r="I820" s="20"/>
      <c r="J820" s="20"/>
      <c r="K820" s="20"/>
      <c r="L820" s="20"/>
      <c r="M820" s="20"/>
      <c r="N820" s="20"/>
      <c r="O820" s="20"/>
      <c r="P820" s="20"/>
    </row>
    <row r="821" ht="15.75" customHeight="1">
      <c r="A821" s="20"/>
      <c r="B821" s="20"/>
      <c r="C821" s="20"/>
      <c r="D821" s="20"/>
      <c r="E821" s="20"/>
      <c r="F821" s="20"/>
      <c r="G821" s="20"/>
      <c r="H821" s="20"/>
      <c r="I821" s="20"/>
      <c r="J821" s="20"/>
      <c r="K821" s="20"/>
      <c r="L821" s="20"/>
      <c r="M821" s="20"/>
      <c r="N821" s="20"/>
      <c r="O821" s="20"/>
      <c r="P821" s="20"/>
    </row>
    <row r="822" ht="15.75" customHeight="1">
      <c r="A822" s="20"/>
      <c r="B822" s="20"/>
      <c r="C822" s="20"/>
      <c r="D822" s="20"/>
      <c r="E822" s="20"/>
      <c r="F822" s="20"/>
      <c r="G822" s="20"/>
      <c r="H822" s="20"/>
      <c r="I822" s="20"/>
      <c r="J822" s="20"/>
      <c r="K822" s="20"/>
      <c r="L822" s="20"/>
      <c r="M822" s="20"/>
      <c r="N822" s="20"/>
      <c r="O822" s="20"/>
      <c r="P822" s="20"/>
    </row>
    <row r="823" ht="15.75" customHeight="1">
      <c r="A823" s="20"/>
      <c r="B823" s="20"/>
      <c r="C823" s="20"/>
      <c r="D823" s="20"/>
      <c r="E823" s="20"/>
      <c r="F823" s="20"/>
      <c r="G823" s="20"/>
      <c r="H823" s="20"/>
      <c r="I823" s="20"/>
      <c r="J823" s="20"/>
      <c r="K823" s="20"/>
      <c r="L823" s="20"/>
      <c r="M823" s="20"/>
      <c r="N823" s="20"/>
      <c r="O823" s="20"/>
      <c r="P823" s="20"/>
    </row>
    <row r="824" ht="15.75" customHeight="1">
      <c r="A824" s="20"/>
      <c r="B824" s="20"/>
      <c r="C824" s="20"/>
      <c r="D824" s="20"/>
      <c r="E824" s="20"/>
      <c r="F824" s="20"/>
      <c r="G824" s="20"/>
      <c r="H824" s="20"/>
      <c r="I824" s="20"/>
      <c r="J824" s="20"/>
      <c r="K824" s="20"/>
      <c r="L824" s="20"/>
      <c r="M824" s="20"/>
      <c r="N824" s="20"/>
      <c r="O824" s="20"/>
      <c r="P824" s="20"/>
    </row>
    <row r="825" ht="15.75" customHeight="1">
      <c r="A825" s="20"/>
      <c r="B825" s="20"/>
      <c r="C825" s="20"/>
      <c r="D825" s="20"/>
      <c r="E825" s="20"/>
      <c r="F825" s="20"/>
      <c r="G825" s="20"/>
      <c r="H825" s="20"/>
      <c r="I825" s="20"/>
      <c r="J825" s="20"/>
      <c r="K825" s="20"/>
      <c r="L825" s="20"/>
      <c r="M825" s="20"/>
      <c r="N825" s="20"/>
      <c r="O825" s="20"/>
      <c r="P825" s="20"/>
    </row>
    <row r="826" ht="15.75" customHeight="1">
      <c r="A826" s="20"/>
      <c r="B826" s="20"/>
      <c r="C826" s="20"/>
      <c r="D826" s="20"/>
      <c r="E826" s="20"/>
      <c r="F826" s="20"/>
      <c r="G826" s="20"/>
      <c r="H826" s="20"/>
      <c r="I826" s="20"/>
      <c r="J826" s="20"/>
      <c r="K826" s="20"/>
      <c r="L826" s="20"/>
      <c r="M826" s="20"/>
      <c r="N826" s="20"/>
      <c r="O826" s="20"/>
      <c r="P826" s="20"/>
    </row>
    <row r="827" ht="15.75" customHeight="1">
      <c r="A827" s="20"/>
      <c r="B827" s="20"/>
      <c r="C827" s="20"/>
      <c r="D827" s="20"/>
      <c r="E827" s="20"/>
      <c r="F827" s="20"/>
      <c r="G827" s="20"/>
      <c r="H827" s="20"/>
      <c r="I827" s="20"/>
      <c r="J827" s="20"/>
      <c r="K827" s="20"/>
      <c r="L827" s="20"/>
      <c r="M827" s="20"/>
      <c r="N827" s="20"/>
      <c r="O827" s="20"/>
      <c r="P827" s="20"/>
    </row>
    <row r="828" ht="15.75" customHeight="1">
      <c r="A828" s="20"/>
      <c r="B828" s="20"/>
      <c r="C828" s="20"/>
      <c r="D828" s="20"/>
      <c r="E828" s="20"/>
      <c r="F828" s="20"/>
      <c r="G828" s="20"/>
      <c r="H828" s="20"/>
      <c r="I828" s="20"/>
      <c r="J828" s="20"/>
      <c r="K828" s="20"/>
      <c r="L828" s="20"/>
      <c r="M828" s="20"/>
      <c r="N828" s="20"/>
      <c r="O828" s="20"/>
      <c r="P828" s="20"/>
    </row>
    <row r="829" ht="15.75" customHeight="1">
      <c r="A829" s="20"/>
      <c r="B829" s="20"/>
      <c r="C829" s="20"/>
      <c r="D829" s="20"/>
      <c r="E829" s="20"/>
      <c r="F829" s="20"/>
      <c r="G829" s="20"/>
      <c r="H829" s="20"/>
      <c r="I829" s="20"/>
      <c r="J829" s="20"/>
      <c r="K829" s="20"/>
      <c r="L829" s="20"/>
      <c r="M829" s="20"/>
      <c r="N829" s="20"/>
      <c r="O829" s="20"/>
      <c r="P829" s="20"/>
    </row>
    <row r="830" ht="15.75" customHeight="1">
      <c r="A830" s="20"/>
      <c r="B830" s="20"/>
      <c r="C830" s="20"/>
      <c r="D830" s="20"/>
      <c r="E830" s="20"/>
      <c r="F830" s="20"/>
      <c r="G830" s="20"/>
      <c r="H830" s="20"/>
      <c r="I830" s="20"/>
      <c r="J830" s="20"/>
      <c r="K830" s="20"/>
      <c r="L830" s="20"/>
      <c r="M830" s="20"/>
      <c r="N830" s="20"/>
      <c r="O830" s="20"/>
      <c r="P830" s="20"/>
    </row>
    <row r="831" ht="15.75" customHeight="1">
      <c r="A831" s="20"/>
      <c r="B831" s="20"/>
      <c r="C831" s="20"/>
      <c r="D831" s="20"/>
      <c r="E831" s="20"/>
      <c r="F831" s="20"/>
      <c r="G831" s="20"/>
      <c r="H831" s="20"/>
      <c r="I831" s="20"/>
      <c r="J831" s="20"/>
      <c r="K831" s="20"/>
      <c r="L831" s="20"/>
      <c r="M831" s="20"/>
      <c r="N831" s="20"/>
      <c r="O831" s="20"/>
      <c r="P831" s="20"/>
    </row>
    <row r="832" ht="15.75" customHeight="1">
      <c r="A832" s="20"/>
      <c r="B832" s="20"/>
      <c r="C832" s="20"/>
      <c r="D832" s="20"/>
      <c r="E832" s="20"/>
      <c r="F832" s="20"/>
      <c r="G832" s="20"/>
      <c r="H832" s="20"/>
      <c r="I832" s="20"/>
      <c r="J832" s="20"/>
      <c r="K832" s="20"/>
      <c r="L832" s="20"/>
      <c r="M832" s="20"/>
      <c r="N832" s="20"/>
      <c r="O832" s="20"/>
      <c r="P832" s="20"/>
    </row>
    <row r="833" ht="15.75" customHeight="1">
      <c r="A833" s="20"/>
      <c r="B833" s="20"/>
      <c r="C833" s="20"/>
      <c r="D833" s="20"/>
      <c r="E833" s="20"/>
      <c r="F833" s="20"/>
      <c r="G833" s="20"/>
      <c r="H833" s="20"/>
      <c r="I833" s="20"/>
      <c r="J833" s="20"/>
      <c r="K833" s="20"/>
      <c r="L833" s="20"/>
      <c r="M833" s="20"/>
      <c r="N833" s="20"/>
      <c r="O833" s="20"/>
      <c r="P833" s="20"/>
    </row>
    <row r="834" ht="15.75" customHeight="1">
      <c r="A834" s="20"/>
      <c r="B834" s="20"/>
      <c r="C834" s="20"/>
      <c r="D834" s="20"/>
      <c r="E834" s="20"/>
      <c r="F834" s="20"/>
      <c r="G834" s="20"/>
      <c r="H834" s="20"/>
      <c r="I834" s="20"/>
      <c r="J834" s="20"/>
      <c r="K834" s="20"/>
      <c r="L834" s="20"/>
      <c r="M834" s="20"/>
      <c r="N834" s="20"/>
      <c r="O834" s="20"/>
      <c r="P834" s="20"/>
    </row>
    <row r="835" ht="15.75" customHeight="1">
      <c r="A835" s="20"/>
      <c r="B835" s="20"/>
      <c r="C835" s="20"/>
      <c r="D835" s="20"/>
      <c r="E835" s="20"/>
      <c r="F835" s="20"/>
      <c r="G835" s="20"/>
      <c r="H835" s="20"/>
      <c r="I835" s="20"/>
      <c r="J835" s="20"/>
      <c r="K835" s="20"/>
      <c r="L835" s="20"/>
      <c r="M835" s="20"/>
      <c r="N835" s="20"/>
      <c r="O835" s="20"/>
      <c r="P835" s="20"/>
    </row>
    <row r="836" ht="15.75" customHeight="1">
      <c r="A836" s="20"/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</row>
    <row r="837" ht="15.75" customHeight="1">
      <c r="A837" s="20"/>
      <c r="B837" s="20"/>
      <c r="C837" s="20"/>
      <c r="D837" s="20"/>
      <c r="E837" s="20"/>
      <c r="F837" s="20"/>
      <c r="G837" s="20"/>
      <c r="H837" s="20"/>
      <c r="I837" s="20"/>
      <c r="J837" s="20"/>
      <c r="K837" s="20"/>
      <c r="L837" s="20"/>
      <c r="M837" s="20"/>
      <c r="N837" s="20"/>
      <c r="O837" s="20"/>
      <c r="P837" s="20"/>
    </row>
    <row r="838" ht="15.75" customHeight="1">
      <c r="A838" s="20"/>
      <c r="B838" s="20"/>
      <c r="C838" s="20"/>
      <c r="D838" s="20"/>
      <c r="E838" s="20"/>
      <c r="F838" s="20"/>
      <c r="G838" s="20"/>
      <c r="H838" s="20"/>
      <c r="I838" s="20"/>
      <c r="J838" s="20"/>
      <c r="K838" s="20"/>
      <c r="L838" s="20"/>
      <c r="M838" s="20"/>
      <c r="N838" s="20"/>
      <c r="O838" s="20"/>
      <c r="P838" s="20"/>
    </row>
    <row r="839" ht="15.75" customHeight="1">
      <c r="A839" s="20"/>
      <c r="B839" s="20"/>
      <c r="C839" s="20"/>
      <c r="D839" s="20"/>
      <c r="E839" s="20"/>
      <c r="F839" s="20"/>
      <c r="G839" s="20"/>
      <c r="H839" s="20"/>
      <c r="I839" s="20"/>
      <c r="J839" s="20"/>
      <c r="K839" s="20"/>
      <c r="L839" s="20"/>
      <c r="M839" s="20"/>
      <c r="N839" s="20"/>
      <c r="O839" s="20"/>
      <c r="P839" s="20"/>
    </row>
    <row r="840" ht="15.75" customHeight="1">
      <c r="A840" s="20"/>
      <c r="B840" s="20"/>
      <c r="C840" s="20"/>
      <c r="D840" s="20"/>
      <c r="E840" s="20"/>
      <c r="F840" s="20"/>
      <c r="G840" s="20"/>
      <c r="H840" s="20"/>
      <c r="I840" s="20"/>
      <c r="J840" s="20"/>
      <c r="K840" s="20"/>
      <c r="L840" s="20"/>
      <c r="M840" s="20"/>
      <c r="N840" s="20"/>
      <c r="O840" s="20"/>
      <c r="P840" s="20"/>
    </row>
    <row r="841" ht="15.75" customHeight="1">
      <c r="A841" s="20"/>
      <c r="B841" s="20"/>
      <c r="C841" s="20"/>
      <c r="D841" s="20"/>
      <c r="E841" s="20"/>
      <c r="F841" s="20"/>
      <c r="G841" s="20"/>
      <c r="H841" s="20"/>
      <c r="I841" s="20"/>
      <c r="J841" s="20"/>
      <c r="K841" s="20"/>
      <c r="L841" s="20"/>
      <c r="M841" s="20"/>
      <c r="N841" s="20"/>
      <c r="O841" s="20"/>
      <c r="P841" s="20"/>
    </row>
    <row r="842" ht="15.75" customHeight="1">
      <c r="A842" s="20"/>
      <c r="B842" s="20"/>
      <c r="C842" s="20"/>
      <c r="D842" s="20"/>
      <c r="E842" s="20"/>
      <c r="F842" s="20"/>
      <c r="G842" s="20"/>
      <c r="H842" s="20"/>
      <c r="I842" s="20"/>
      <c r="J842" s="20"/>
      <c r="K842" s="20"/>
      <c r="L842" s="20"/>
      <c r="M842" s="20"/>
      <c r="N842" s="20"/>
      <c r="O842" s="20"/>
      <c r="P842" s="20"/>
    </row>
    <row r="843" ht="15.75" customHeight="1">
      <c r="A843" s="20"/>
      <c r="B843" s="20"/>
      <c r="C843" s="20"/>
      <c r="D843" s="20"/>
      <c r="E843" s="20"/>
      <c r="F843" s="20"/>
      <c r="G843" s="20"/>
      <c r="H843" s="20"/>
      <c r="I843" s="20"/>
      <c r="J843" s="20"/>
      <c r="K843" s="20"/>
      <c r="L843" s="20"/>
      <c r="M843" s="20"/>
      <c r="N843" s="20"/>
      <c r="O843" s="20"/>
      <c r="P843" s="20"/>
    </row>
    <row r="844" ht="15.75" customHeight="1">
      <c r="A844" s="20"/>
      <c r="B844" s="20"/>
      <c r="C844" s="20"/>
      <c r="D844" s="20"/>
      <c r="E844" s="20"/>
      <c r="F844" s="20"/>
      <c r="G844" s="20"/>
      <c r="H844" s="20"/>
      <c r="I844" s="20"/>
      <c r="J844" s="20"/>
      <c r="K844" s="20"/>
      <c r="L844" s="20"/>
      <c r="M844" s="20"/>
      <c r="N844" s="20"/>
      <c r="O844" s="20"/>
      <c r="P844" s="20"/>
    </row>
    <row r="845" ht="15.75" customHeight="1">
      <c r="A845" s="20"/>
      <c r="B845" s="20"/>
      <c r="C845" s="20"/>
      <c r="D845" s="20"/>
      <c r="E845" s="20"/>
      <c r="F845" s="20"/>
      <c r="G845" s="20"/>
      <c r="H845" s="20"/>
      <c r="I845" s="20"/>
      <c r="J845" s="20"/>
      <c r="K845" s="20"/>
      <c r="L845" s="20"/>
      <c r="M845" s="20"/>
      <c r="N845" s="20"/>
      <c r="O845" s="20"/>
      <c r="P845" s="20"/>
    </row>
    <row r="846" ht="15.75" customHeight="1">
      <c r="A846" s="20"/>
      <c r="B846" s="20"/>
      <c r="C846" s="20"/>
      <c r="D846" s="20"/>
      <c r="E846" s="20"/>
      <c r="F846" s="20"/>
      <c r="G846" s="20"/>
      <c r="H846" s="20"/>
      <c r="I846" s="20"/>
      <c r="J846" s="20"/>
      <c r="K846" s="20"/>
      <c r="L846" s="20"/>
      <c r="M846" s="20"/>
      <c r="N846" s="20"/>
      <c r="O846" s="20"/>
      <c r="P846" s="20"/>
    </row>
    <row r="847" ht="15.75" customHeight="1">
      <c r="A847" s="20"/>
      <c r="B847" s="20"/>
      <c r="C847" s="20"/>
      <c r="D847" s="20"/>
      <c r="E847" s="20"/>
      <c r="F847" s="20"/>
      <c r="G847" s="20"/>
      <c r="H847" s="20"/>
      <c r="I847" s="20"/>
      <c r="J847" s="20"/>
      <c r="K847" s="20"/>
      <c r="L847" s="20"/>
      <c r="M847" s="20"/>
      <c r="N847" s="20"/>
      <c r="O847" s="20"/>
      <c r="P847" s="20"/>
    </row>
    <row r="848" ht="15.75" customHeight="1">
      <c r="A848" s="20"/>
      <c r="B848" s="20"/>
      <c r="C848" s="20"/>
      <c r="D848" s="20"/>
      <c r="E848" s="20"/>
      <c r="F848" s="20"/>
      <c r="G848" s="20"/>
      <c r="H848" s="20"/>
      <c r="I848" s="20"/>
      <c r="J848" s="20"/>
      <c r="K848" s="20"/>
      <c r="L848" s="20"/>
      <c r="M848" s="20"/>
      <c r="N848" s="20"/>
      <c r="O848" s="20"/>
      <c r="P848" s="20"/>
    </row>
    <row r="849" ht="15.75" customHeight="1">
      <c r="A849" s="20"/>
      <c r="B849" s="20"/>
      <c r="C849" s="20"/>
      <c r="D849" s="20"/>
      <c r="E849" s="20"/>
      <c r="F849" s="20"/>
      <c r="G849" s="20"/>
      <c r="H849" s="20"/>
      <c r="I849" s="20"/>
      <c r="J849" s="20"/>
      <c r="K849" s="20"/>
      <c r="L849" s="20"/>
      <c r="M849" s="20"/>
      <c r="N849" s="20"/>
      <c r="O849" s="20"/>
      <c r="P849" s="20"/>
    </row>
    <row r="850" ht="15.75" customHeight="1">
      <c r="A850" s="20"/>
      <c r="B850" s="20"/>
      <c r="C850" s="20"/>
      <c r="D850" s="20"/>
      <c r="E850" s="20"/>
      <c r="F850" s="20"/>
      <c r="G850" s="20"/>
      <c r="H850" s="20"/>
      <c r="I850" s="20"/>
      <c r="J850" s="20"/>
      <c r="K850" s="20"/>
      <c r="L850" s="20"/>
      <c r="M850" s="20"/>
      <c r="N850" s="20"/>
      <c r="O850" s="20"/>
      <c r="P850" s="20"/>
    </row>
    <row r="851" ht="15.75" customHeight="1">
      <c r="A851" s="20"/>
      <c r="B851" s="20"/>
      <c r="C851" s="20"/>
      <c r="D851" s="20"/>
      <c r="E851" s="20"/>
      <c r="F851" s="20"/>
      <c r="G851" s="20"/>
      <c r="H851" s="20"/>
      <c r="I851" s="20"/>
      <c r="J851" s="20"/>
      <c r="K851" s="20"/>
      <c r="L851" s="20"/>
      <c r="M851" s="20"/>
      <c r="N851" s="20"/>
      <c r="O851" s="20"/>
      <c r="P851" s="20"/>
    </row>
    <row r="852" ht="15.75" customHeight="1">
      <c r="A852" s="20"/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</row>
    <row r="853" ht="15.75" customHeight="1">
      <c r="A853" s="20"/>
      <c r="B853" s="20"/>
      <c r="C853" s="20"/>
      <c r="D853" s="20"/>
      <c r="E853" s="20"/>
      <c r="F853" s="20"/>
      <c r="G853" s="20"/>
      <c r="H853" s="20"/>
      <c r="I853" s="20"/>
      <c r="J853" s="20"/>
      <c r="K853" s="20"/>
      <c r="L853" s="20"/>
      <c r="M853" s="20"/>
      <c r="N853" s="20"/>
      <c r="O853" s="20"/>
      <c r="P853" s="20"/>
    </row>
    <row r="854" ht="15.75" customHeight="1">
      <c r="A854" s="20"/>
      <c r="B854" s="20"/>
      <c r="C854" s="20"/>
      <c r="D854" s="20"/>
      <c r="E854" s="20"/>
      <c r="F854" s="20"/>
      <c r="G854" s="20"/>
      <c r="H854" s="20"/>
      <c r="I854" s="20"/>
      <c r="J854" s="20"/>
      <c r="K854" s="20"/>
      <c r="L854" s="20"/>
      <c r="M854" s="20"/>
      <c r="N854" s="20"/>
      <c r="O854" s="20"/>
      <c r="P854" s="20"/>
    </row>
    <row r="855" ht="15.75" customHeight="1">
      <c r="A855" s="20"/>
      <c r="B855" s="20"/>
      <c r="C855" s="20"/>
      <c r="D855" s="20"/>
      <c r="E855" s="20"/>
      <c r="F855" s="20"/>
      <c r="G855" s="20"/>
      <c r="H855" s="20"/>
      <c r="I855" s="20"/>
      <c r="J855" s="20"/>
      <c r="K855" s="20"/>
      <c r="L855" s="20"/>
      <c r="M855" s="20"/>
      <c r="N855" s="20"/>
      <c r="O855" s="20"/>
      <c r="P855" s="20"/>
    </row>
    <row r="856" ht="15.75" customHeight="1">
      <c r="A856" s="20"/>
      <c r="B856" s="20"/>
      <c r="C856" s="20"/>
      <c r="D856" s="20"/>
      <c r="E856" s="20"/>
      <c r="F856" s="20"/>
      <c r="G856" s="20"/>
      <c r="H856" s="20"/>
      <c r="I856" s="20"/>
      <c r="J856" s="20"/>
      <c r="K856" s="20"/>
      <c r="L856" s="20"/>
      <c r="M856" s="20"/>
      <c r="N856" s="20"/>
      <c r="O856" s="20"/>
      <c r="P856" s="20"/>
    </row>
    <row r="857" ht="15.75" customHeight="1">
      <c r="A857" s="20"/>
      <c r="B857" s="20"/>
      <c r="C857" s="20"/>
      <c r="D857" s="20"/>
      <c r="E857" s="20"/>
      <c r="F857" s="20"/>
      <c r="G857" s="20"/>
      <c r="H857" s="20"/>
      <c r="I857" s="20"/>
      <c r="J857" s="20"/>
      <c r="K857" s="20"/>
      <c r="L857" s="20"/>
      <c r="M857" s="20"/>
      <c r="N857" s="20"/>
      <c r="O857" s="20"/>
      <c r="P857" s="20"/>
    </row>
    <row r="858" ht="15.75" customHeight="1">
      <c r="A858" s="20"/>
      <c r="B858" s="20"/>
      <c r="C858" s="20"/>
      <c r="D858" s="20"/>
      <c r="E858" s="20"/>
      <c r="F858" s="20"/>
      <c r="G858" s="20"/>
      <c r="H858" s="20"/>
      <c r="I858" s="20"/>
      <c r="J858" s="20"/>
      <c r="K858" s="20"/>
      <c r="L858" s="20"/>
      <c r="M858" s="20"/>
      <c r="N858" s="20"/>
      <c r="O858" s="20"/>
      <c r="P858" s="20"/>
    </row>
    <row r="859" ht="15.75" customHeight="1">
      <c r="A859" s="20"/>
      <c r="B859" s="20"/>
      <c r="C859" s="20"/>
      <c r="D859" s="20"/>
      <c r="E859" s="20"/>
      <c r="F859" s="20"/>
      <c r="G859" s="20"/>
      <c r="H859" s="20"/>
      <c r="I859" s="20"/>
      <c r="J859" s="20"/>
      <c r="K859" s="20"/>
      <c r="L859" s="20"/>
      <c r="M859" s="20"/>
      <c r="N859" s="20"/>
      <c r="O859" s="20"/>
      <c r="P859" s="20"/>
    </row>
    <row r="860" ht="15.75" customHeight="1">
      <c r="A860" s="20"/>
      <c r="B860" s="20"/>
      <c r="C860" s="20"/>
      <c r="D860" s="20"/>
      <c r="E860" s="20"/>
      <c r="F860" s="20"/>
      <c r="G860" s="20"/>
      <c r="H860" s="20"/>
      <c r="I860" s="20"/>
      <c r="J860" s="20"/>
      <c r="K860" s="20"/>
      <c r="L860" s="20"/>
      <c r="M860" s="20"/>
      <c r="N860" s="20"/>
      <c r="O860" s="20"/>
      <c r="P860" s="20"/>
    </row>
    <row r="861" ht="15.75" customHeight="1">
      <c r="A861" s="20"/>
      <c r="B861" s="20"/>
      <c r="C861" s="20"/>
      <c r="D861" s="20"/>
      <c r="E861" s="20"/>
      <c r="F861" s="20"/>
      <c r="G861" s="20"/>
      <c r="H861" s="20"/>
      <c r="I861" s="20"/>
      <c r="J861" s="20"/>
      <c r="K861" s="20"/>
      <c r="L861" s="20"/>
      <c r="M861" s="20"/>
      <c r="N861" s="20"/>
      <c r="O861" s="20"/>
      <c r="P861" s="20"/>
    </row>
    <row r="862" ht="15.75" customHeight="1">
      <c r="A862" s="20"/>
      <c r="B862" s="20"/>
      <c r="C862" s="20"/>
      <c r="D862" s="20"/>
      <c r="E862" s="20"/>
      <c r="F862" s="20"/>
      <c r="G862" s="20"/>
      <c r="H862" s="20"/>
      <c r="I862" s="20"/>
      <c r="J862" s="20"/>
      <c r="K862" s="20"/>
      <c r="L862" s="20"/>
      <c r="M862" s="20"/>
      <c r="N862" s="20"/>
      <c r="O862" s="20"/>
      <c r="P862" s="20"/>
    </row>
    <row r="863" ht="15.75" customHeight="1">
      <c r="A863" s="20"/>
      <c r="B863" s="20"/>
      <c r="C863" s="20"/>
      <c r="D863" s="20"/>
      <c r="E863" s="20"/>
      <c r="F863" s="20"/>
      <c r="G863" s="20"/>
      <c r="H863" s="20"/>
      <c r="I863" s="20"/>
      <c r="J863" s="20"/>
      <c r="K863" s="20"/>
      <c r="L863" s="20"/>
      <c r="M863" s="20"/>
      <c r="N863" s="20"/>
      <c r="O863" s="20"/>
      <c r="P863" s="20"/>
    </row>
    <row r="864" ht="15.75" customHeight="1">
      <c r="A864" s="20"/>
      <c r="B864" s="20"/>
      <c r="C864" s="20"/>
      <c r="D864" s="20"/>
      <c r="E864" s="20"/>
      <c r="F864" s="20"/>
      <c r="G864" s="20"/>
      <c r="H864" s="20"/>
      <c r="I864" s="20"/>
      <c r="J864" s="20"/>
      <c r="K864" s="20"/>
      <c r="L864" s="20"/>
      <c r="M864" s="20"/>
      <c r="N864" s="20"/>
      <c r="O864" s="20"/>
      <c r="P864" s="20"/>
    </row>
    <row r="865" ht="15.75" customHeight="1">
      <c r="A865" s="20"/>
      <c r="B865" s="20"/>
      <c r="C865" s="20"/>
      <c r="D865" s="20"/>
      <c r="E865" s="20"/>
      <c r="F865" s="20"/>
      <c r="G865" s="20"/>
      <c r="H865" s="20"/>
      <c r="I865" s="20"/>
      <c r="J865" s="20"/>
      <c r="K865" s="20"/>
      <c r="L865" s="20"/>
      <c r="M865" s="20"/>
      <c r="N865" s="20"/>
      <c r="O865" s="20"/>
      <c r="P865" s="20"/>
    </row>
    <row r="866" ht="15.75" customHeight="1">
      <c r="A866" s="20"/>
      <c r="B866" s="20"/>
      <c r="C866" s="20"/>
      <c r="D866" s="20"/>
      <c r="E866" s="20"/>
      <c r="F866" s="20"/>
      <c r="G866" s="20"/>
      <c r="H866" s="20"/>
      <c r="I866" s="20"/>
      <c r="J866" s="20"/>
      <c r="K866" s="20"/>
      <c r="L866" s="20"/>
      <c r="M866" s="20"/>
      <c r="N866" s="20"/>
      <c r="O866" s="20"/>
      <c r="P866" s="20"/>
    </row>
    <row r="867" ht="15.75" customHeight="1">
      <c r="A867" s="20"/>
      <c r="B867" s="20"/>
      <c r="C867" s="20"/>
      <c r="D867" s="20"/>
      <c r="E867" s="20"/>
      <c r="F867" s="20"/>
      <c r="G867" s="20"/>
      <c r="H867" s="20"/>
      <c r="I867" s="20"/>
      <c r="J867" s="20"/>
      <c r="K867" s="20"/>
      <c r="L867" s="20"/>
      <c r="M867" s="20"/>
      <c r="N867" s="20"/>
      <c r="O867" s="20"/>
      <c r="P867" s="20"/>
    </row>
    <row r="868" ht="15.75" customHeight="1">
      <c r="A868" s="20"/>
      <c r="B868" s="20"/>
      <c r="C868" s="20"/>
      <c r="D868" s="20"/>
      <c r="E868" s="20"/>
      <c r="F868" s="20"/>
      <c r="G868" s="20"/>
      <c r="H868" s="20"/>
      <c r="I868" s="20"/>
      <c r="J868" s="20"/>
      <c r="K868" s="20"/>
      <c r="L868" s="20"/>
      <c r="M868" s="20"/>
      <c r="N868" s="20"/>
      <c r="O868" s="20"/>
      <c r="P868" s="20"/>
    </row>
    <row r="869" ht="15.75" customHeight="1">
      <c r="A869" s="20"/>
      <c r="B869" s="20"/>
      <c r="C869" s="20"/>
      <c r="D869" s="20"/>
      <c r="E869" s="20"/>
      <c r="F869" s="20"/>
      <c r="G869" s="20"/>
      <c r="H869" s="20"/>
      <c r="I869" s="20"/>
      <c r="J869" s="20"/>
      <c r="K869" s="20"/>
      <c r="L869" s="20"/>
      <c r="M869" s="20"/>
      <c r="N869" s="20"/>
      <c r="O869" s="20"/>
      <c r="P869" s="20"/>
    </row>
    <row r="870" ht="15.75" customHeight="1">
      <c r="A870" s="20"/>
      <c r="B870" s="20"/>
      <c r="C870" s="20"/>
      <c r="D870" s="20"/>
      <c r="E870" s="20"/>
      <c r="F870" s="20"/>
      <c r="G870" s="20"/>
      <c r="H870" s="20"/>
      <c r="I870" s="20"/>
      <c r="J870" s="20"/>
      <c r="K870" s="20"/>
      <c r="L870" s="20"/>
      <c r="M870" s="20"/>
      <c r="N870" s="20"/>
      <c r="O870" s="20"/>
      <c r="P870" s="20"/>
    </row>
    <row r="871" ht="15.75" customHeight="1">
      <c r="A871" s="20"/>
      <c r="B871" s="20"/>
      <c r="C871" s="20"/>
      <c r="D871" s="20"/>
      <c r="E871" s="20"/>
      <c r="F871" s="20"/>
      <c r="G871" s="20"/>
      <c r="H871" s="20"/>
      <c r="I871" s="20"/>
      <c r="J871" s="20"/>
      <c r="K871" s="20"/>
      <c r="L871" s="20"/>
      <c r="M871" s="20"/>
      <c r="N871" s="20"/>
      <c r="O871" s="20"/>
      <c r="P871" s="20"/>
    </row>
    <row r="872" ht="15.75" customHeight="1">
      <c r="A872" s="20"/>
      <c r="B872" s="20"/>
      <c r="C872" s="20"/>
      <c r="D872" s="20"/>
      <c r="E872" s="20"/>
      <c r="F872" s="20"/>
      <c r="G872" s="20"/>
      <c r="H872" s="20"/>
      <c r="I872" s="20"/>
      <c r="J872" s="20"/>
      <c r="K872" s="20"/>
      <c r="L872" s="20"/>
      <c r="M872" s="20"/>
      <c r="N872" s="20"/>
      <c r="O872" s="20"/>
      <c r="P872" s="20"/>
    </row>
    <row r="873" ht="15.75" customHeight="1">
      <c r="A873" s="20"/>
      <c r="B873" s="20"/>
      <c r="C873" s="20"/>
      <c r="D873" s="20"/>
      <c r="E873" s="20"/>
      <c r="F873" s="20"/>
      <c r="G873" s="20"/>
      <c r="H873" s="20"/>
      <c r="I873" s="20"/>
      <c r="J873" s="20"/>
      <c r="K873" s="20"/>
      <c r="L873" s="20"/>
      <c r="M873" s="20"/>
      <c r="N873" s="20"/>
      <c r="O873" s="20"/>
      <c r="P873" s="20"/>
    </row>
    <row r="874" ht="15.75" customHeight="1">
      <c r="A874" s="20"/>
      <c r="B874" s="20"/>
      <c r="C874" s="20"/>
      <c r="D874" s="20"/>
      <c r="E874" s="20"/>
      <c r="F874" s="20"/>
      <c r="G874" s="20"/>
      <c r="H874" s="20"/>
      <c r="I874" s="20"/>
      <c r="J874" s="20"/>
      <c r="K874" s="20"/>
      <c r="L874" s="20"/>
      <c r="M874" s="20"/>
      <c r="N874" s="20"/>
      <c r="O874" s="20"/>
      <c r="P874" s="20"/>
    </row>
    <row r="875" ht="15.75" customHeight="1">
      <c r="A875" s="20"/>
      <c r="B875" s="20"/>
      <c r="C875" s="20"/>
      <c r="D875" s="20"/>
      <c r="E875" s="20"/>
      <c r="F875" s="20"/>
      <c r="G875" s="20"/>
      <c r="H875" s="20"/>
      <c r="I875" s="20"/>
      <c r="J875" s="20"/>
      <c r="K875" s="20"/>
      <c r="L875" s="20"/>
      <c r="M875" s="20"/>
      <c r="N875" s="20"/>
      <c r="O875" s="20"/>
      <c r="P875" s="20"/>
    </row>
    <row r="876" ht="15.75" customHeight="1">
      <c r="A876" s="20"/>
      <c r="B876" s="20"/>
      <c r="C876" s="20"/>
      <c r="D876" s="20"/>
      <c r="E876" s="20"/>
      <c r="F876" s="20"/>
      <c r="G876" s="20"/>
      <c r="H876" s="20"/>
      <c r="I876" s="20"/>
      <c r="J876" s="20"/>
      <c r="K876" s="20"/>
      <c r="L876" s="20"/>
      <c r="M876" s="20"/>
      <c r="N876" s="20"/>
      <c r="O876" s="20"/>
      <c r="P876" s="20"/>
    </row>
    <row r="877" ht="15.75" customHeight="1">
      <c r="A877" s="20"/>
      <c r="B877" s="20"/>
      <c r="C877" s="20"/>
      <c r="D877" s="20"/>
      <c r="E877" s="20"/>
      <c r="F877" s="20"/>
      <c r="G877" s="20"/>
      <c r="H877" s="20"/>
      <c r="I877" s="20"/>
      <c r="J877" s="20"/>
      <c r="K877" s="20"/>
      <c r="L877" s="20"/>
      <c r="M877" s="20"/>
      <c r="N877" s="20"/>
      <c r="O877" s="20"/>
      <c r="P877" s="20"/>
    </row>
    <row r="878" ht="15.75" customHeight="1">
      <c r="A878" s="20"/>
      <c r="B878" s="20"/>
      <c r="C878" s="20"/>
      <c r="D878" s="20"/>
      <c r="E878" s="20"/>
      <c r="F878" s="20"/>
      <c r="G878" s="20"/>
      <c r="H878" s="20"/>
      <c r="I878" s="20"/>
      <c r="J878" s="20"/>
      <c r="K878" s="20"/>
      <c r="L878" s="20"/>
      <c r="M878" s="20"/>
      <c r="N878" s="20"/>
      <c r="O878" s="20"/>
      <c r="P878" s="20"/>
    </row>
    <row r="879" ht="15.75" customHeight="1">
      <c r="A879" s="20"/>
      <c r="B879" s="20"/>
      <c r="C879" s="20"/>
      <c r="D879" s="20"/>
      <c r="E879" s="20"/>
      <c r="F879" s="20"/>
      <c r="G879" s="20"/>
      <c r="H879" s="20"/>
      <c r="I879" s="20"/>
      <c r="J879" s="20"/>
      <c r="K879" s="20"/>
      <c r="L879" s="20"/>
      <c r="M879" s="20"/>
      <c r="N879" s="20"/>
      <c r="O879" s="20"/>
      <c r="P879" s="20"/>
    </row>
    <row r="880" ht="15.75" customHeight="1">
      <c r="A880" s="20"/>
      <c r="B880" s="20"/>
      <c r="C880" s="20"/>
      <c r="D880" s="20"/>
      <c r="E880" s="20"/>
      <c r="F880" s="20"/>
      <c r="G880" s="20"/>
      <c r="H880" s="20"/>
      <c r="I880" s="20"/>
      <c r="J880" s="20"/>
      <c r="K880" s="20"/>
      <c r="L880" s="20"/>
      <c r="M880" s="20"/>
      <c r="N880" s="20"/>
      <c r="O880" s="20"/>
      <c r="P880" s="20"/>
    </row>
    <row r="881" ht="15.75" customHeight="1">
      <c r="A881" s="20"/>
      <c r="B881" s="20"/>
      <c r="C881" s="20"/>
      <c r="D881" s="20"/>
      <c r="E881" s="20"/>
      <c r="F881" s="20"/>
      <c r="G881" s="20"/>
      <c r="H881" s="20"/>
      <c r="I881" s="20"/>
      <c r="J881" s="20"/>
      <c r="K881" s="20"/>
      <c r="L881" s="20"/>
      <c r="M881" s="20"/>
      <c r="N881" s="20"/>
      <c r="O881" s="20"/>
      <c r="P881" s="20"/>
    </row>
    <row r="882" ht="15.75" customHeight="1">
      <c r="A882" s="20"/>
      <c r="B882" s="20"/>
      <c r="C882" s="20"/>
      <c r="D882" s="20"/>
      <c r="E882" s="20"/>
      <c r="F882" s="20"/>
      <c r="G882" s="20"/>
      <c r="H882" s="20"/>
      <c r="I882" s="20"/>
      <c r="J882" s="20"/>
      <c r="K882" s="20"/>
      <c r="L882" s="20"/>
      <c r="M882" s="20"/>
      <c r="N882" s="20"/>
      <c r="O882" s="20"/>
      <c r="P882" s="20"/>
    </row>
    <row r="883" ht="15.75" customHeight="1">
      <c r="A883" s="20"/>
      <c r="B883" s="20"/>
      <c r="C883" s="20"/>
      <c r="D883" s="20"/>
      <c r="E883" s="20"/>
      <c r="F883" s="20"/>
      <c r="G883" s="20"/>
      <c r="H883" s="20"/>
      <c r="I883" s="20"/>
      <c r="J883" s="20"/>
      <c r="K883" s="20"/>
      <c r="L883" s="20"/>
      <c r="M883" s="20"/>
      <c r="N883" s="20"/>
      <c r="O883" s="20"/>
      <c r="P883" s="20"/>
    </row>
    <row r="884" ht="15.75" customHeight="1">
      <c r="A884" s="20"/>
      <c r="B884" s="20"/>
      <c r="C884" s="20"/>
      <c r="D884" s="20"/>
      <c r="E884" s="20"/>
      <c r="F884" s="20"/>
      <c r="G884" s="20"/>
      <c r="H884" s="20"/>
      <c r="I884" s="20"/>
      <c r="J884" s="20"/>
      <c r="K884" s="20"/>
      <c r="L884" s="20"/>
      <c r="M884" s="20"/>
      <c r="N884" s="20"/>
      <c r="O884" s="20"/>
      <c r="P884" s="20"/>
    </row>
    <row r="885" ht="15.75" customHeight="1">
      <c r="A885" s="20"/>
      <c r="B885" s="20"/>
      <c r="C885" s="20"/>
      <c r="D885" s="20"/>
      <c r="E885" s="20"/>
      <c r="F885" s="20"/>
      <c r="G885" s="20"/>
      <c r="H885" s="20"/>
      <c r="I885" s="20"/>
      <c r="J885" s="20"/>
      <c r="K885" s="20"/>
      <c r="L885" s="20"/>
      <c r="M885" s="20"/>
      <c r="N885" s="20"/>
      <c r="O885" s="20"/>
      <c r="P885" s="20"/>
    </row>
    <row r="886" ht="15.75" customHeight="1">
      <c r="A886" s="20"/>
      <c r="B886" s="20"/>
      <c r="C886" s="20"/>
      <c r="D886" s="20"/>
      <c r="E886" s="20"/>
      <c r="F886" s="20"/>
      <c r="G886" s="20"/>
      <c r="H886" s="20"/>
      <c r="I886" s="20"/>
      <c r="J886" s="20"/>
      <c r="K886" s="20"/>
      <c r="L886" s="20"/>
      <c r="M886" s="20"/>
      <c r="N886" s="20"/>
      <c r="O886" s="20"/>
      <c r="P886" s="20"/>
    </row>
    <row r="887" ht="15.75" customHeight="1">
      <c r="A887" s="20"/>
      <c r="B887" s="20"/>
      <c r="C887" s="20"/>
      <c r="D887" s="20"/>
      <c r="E887" s="20"/>
      <c r="F887" s="20"/>
      <c r="G887" s="20"/>
      <c r="H887" s="20"/>
      <c r="I887" s="20"/>
      <c r="J887" s="20"/>
      <c r="K887" s="20"/>
      <c r="L887" s="20"/>
      <c r="M887" s="20"/>
      <c r="N887" s="20"/>
      <c r="O887" s="20"/>
      <c r="P887" s="20"/>
    </row>
    <row r="888" ht="15.75" customHeight="1">
      <c r="A888" s="20"/>
      <c r="B888" s="20"/>
      <c r="C888" s="20"/>
      <c r="D888" s="20"/>
      <c r="E888" s="20"/>
      <c r="F888" s="20"/>
      <c r="G888" s="20"/>
      <c r="H888" s="20"/>
      <c r="I888" s="20"/>
      <c r="J888" s="20"/>
      <c r="K888" s="20"/>
      <c r="L888" s="20"/>
      <c r="M888" s="20"/>
      <c r="N888" s="20"/>
      <c r="O888" s="20"/>
      <c r="P888" s="20"/>
    </row>
    <row r="889" ht="15.75" customHeight="1">
      <c r="A889" s="20"/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</row>
    <row r="890" ht="15.75" customHeight="1">
      <c r="A890" s="20"/>
      <c r="B890" s="20"/>
      <c r="C890" s="20"/>
      <c r="D890" s="20"/>
      <c r="E890" s="20"/>
      <c r="F890" s="20"/>
      <c r="G890" s="20"/>
      <c r="H890" s="20"/>
      <c r="I890" s="20"/>
      <c r="J890" s="20"/>
      <c r="K890" s="20"/>
      <c r="L890" s="20"/>
      <c r="M890" s="20"/>
      <c r="N890" s="20"/>
      <c r="O890" s="20"/>
      <c r="P890" s="20"/>
    </row>
    <row r="891" ht="15.75" customHeight="1">
      <c r="A891" s="20"/>
      <c r="B891" s="20"/>
      <c r="C891" s="20"/>
      <c r="D891" s="20"/>
      <c r="E891" s="20"/>
      <c r="F891" s="20"/>
      <c r="G891" s="20"/>
      <c r="H891" s="20"/>
      <c r="I891" s="20"/>
      <c r="J891" s="20"/>
      <c r="K891" s="20"/>
      <c r="L891" s="20"/>
      <c r="M891" s="20"/>
      <c r="N891" s="20"/>
      <c r="O891" s="20"/>
      <c r="P891" s="20"/>
    </row>
    <row r="892" ht="15.75" customHeight="1">
      <c r="A892" s="20"/>
      <c r="B892" s="20"/>
      <c r="C892" s="20"/>
      <c r="D892" s="20"/>
      <c r="E892" s="20"/>
      <c r="F892" s="20"/>
      <c r="G892" s="20"/>
      <c r="H892" s="20"/>
      <c r="I892" s="20"/>
      <c r="J892" s="20"/>
      <c r="K892" s="20"/>
      <c r="L892" s="20"/>
      <c r="M892" s="20"/>
      <c r="N892" s="20"/>
      <c r="O892" s="20"/>
      <c r="P892" s="20"/>
    </row>
    <row r="893" ht="15.75" customHeight="1">
      <c r="A893" s="20"/>
      <c r="B893" s="20"/>
      <c r="C893" s="20"/>
      <c r="D893" s="20"/>
      <c r="E893" s="20"/>
      <c r="F893" s="20"/>
      <c r="G893" s="20"/>
      <c r="H893" s="20"/>
      <c r="I893" s="20"/>
      <c r="J893" s="20"/>
      <c r="K893" s="20"/>
      <c r="L893" s="20"/>
      <c r="M893" s="20"/>
      <c r="N893" s="20"/>
      <c r="O893" s="20"/>
      <c r="P893" s="20"/>
    </row>
    <row r="894" ht="15.75" customHeight="1">
      <c r="A894" s="20"/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</row>
    <row r="895" ht="15.75" customHeight="1">
      <c r="A895" s="20"/>
      <c r="B895" s="20"/>
      <c r="C895" s="20"/>
      <c r="D895" s="20"/>
      <c r="E895" s="20"/>
      <c r="F895" s="20"/>
      <c r="G895" s="20"/>
      <c r="H895" s="20"/>
      <c r="I895" s="20"/>
      <c r="J895" s="20"/>
      <c r="K895" s="20"/>
      <c r="L895" s="20"/>
      <c r="M895" s="20"/>
      <c r="N895" s="20"/>
      <c r="O895" s="20"/>
      <c r="P895" s="20"/>
    </row>
    <row r="896" ht="15.75" customHeight="1">
      <c r="A896" s="20"/>
      <c r="B896" s="20"/>
      <c r="C896" s="20"/>
      <c r="D896" s="20"/>
      <c r="E896" s="20"/>
      <c r="F896" s="20"/>
      <c r="G896" s="20"/>
      <c r="H896" s="20"/>
      <c r="I896" s="20"/>
      <c r="J896" s="20"/>
      <c r="K896" s="20"/>
      <c r="L896" s="20"/>
      <c r="M896" s="20"/>
      <c r="N896" s="20"/>
      <c r="O896" s="20"/>
      <c r="P896" s="20"/>
    </row>
    <row r="897" ht="15.75" customHeight="1">
      <c r="A897" s="20"/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</row>
    <row r="898" ht="15.75" customHeight="1">
      <c r="A898" s="20"/>
      <c r="B898" s="20"/>
      <c r="C898" s="20"/>
      <c r="D898" s="20"/>
      <c r="E898" s="20"/>
      <c r="F898" s="20"/>
      <c r="G898" s="20"/>
      <c r="H898" s="20"/>
      <c r="I898" s="20"/>
      <c r="J898" s="20"/>
      <c r="K898" s="20"/>
      <c r="L898" s="20"/>
      <c r="M898" s="20"/>
      <c r="N898" s="20"/>
      <c r="O898" s="20"/>
      <c r="P898" s="20"/>
    </row>
    <row r="899" ht="15.75" customHeight="1">
      <c r="A899" s="20"/>
      <c r="B899" s="20"/>
      <c r="C899" s="20"/>
      <c r="D899" s="20"/>
      <c r="E899" s="20"/>
      <c r="F899" s="20"/>
      <c r="G899" s="20"/>
      <c r="H899" s="20"/>
      <c r="I899" s="20"/>
      <c r="J899" s="20"/>
      <c r="K899" s="20"/>
      <c r="L899" s="20"/>
      <c r="M899" s="20"/>
      <c r="N899" s="20"/>
      <c r="O899" s="20"/>
      <c r="P899" s="20"/>
    </row>
    <row r="900" ht="15.75" customHeight="1">
      <c r="A900" s="20"/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</row>
    <row r="901" ht="15.75" customHeight="1">
      <c r="A901" s="20"/>
      <c r="B901" s="20"/>
      <c r="C901" s="20"/>
      <c r="D901" s="20"/>
      <c r="E901" s="20"/>
      <c r="F901" s="20"/>
      <c r="G901" s="20"/>
      <c r="H901" s="20"/>
      <c r="I901" s="20"/>
      <c r="J901" s="20"/>
      <c r="K901" s="20"/>
      <c r="L901" s="20"/>
      <c r="M901" s="20"/>
      <c r="N901" s="20"/>
      <c r="O901" s="20"/>
      <c r="P901" s="20"/>
    </row>
    <row r="902" ht="15.75" customHeight="1">
      <c r="A902" s="20"/>
      <c r="B902" s="20"/>
      <c r="C902" s="20"/>
      <c r="D902" s="20"/>
      <c r="E902" s="20"/>
      <c r="F902" s="20"/>
      <c r="G902" s="20"/>
      <c r="H902" s="20"/>
      <c r="I902" s="20"/>
      <c r="J902" s="20"/>
      <c r="K902" s="20"/>
      <c r="L902" s="20"/>
      <c r="M902" s="20"/>
      <c r="N902" s="20"/>
      <c r="O902" s="20"/>
      <c r="P902" s="20"/>
    </row>
    <row r="903" ht="15.75" customHeight="1">
      <c r="A903" s="20"/>
      <c r="B903" s="20"/>
      <c r="C903" s="20"/>
      <c r="D903" s="20"/>
      <c r="E903" s="20"/>
      <c r="F903" s="20"/>
      <c r="G903" s="20"/>
      <c r="H903" s="20"/>
      <c r="I903" s="20"/>
      <c r="J903" s="20"/>
      <c r="K903" s="20"/>
      <c r="L903" s="20"/>
      <c r="M903" s="20"/>
      <c r="N903" s="20"/>
      <c r="O903" s="20"/>
      <c r="P903" s="20"/>
    </row>
    <row r="904" ht="15.75" customHeight="1">
      <c r="A904" s="20"/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</row>
    <row r="905" ht="15.75" customHeight="1">
      <c r="A905" s="20"/>
      <c r="B905" s="20"/>
      <c r="C905" s="20"/>
      <c r="D905" s="20"/>
      <c r="E905" s="20"/>
      <c r="F905" s="20"/>
      <c r="G905" s="20"/>
      <c r="H905" s="20"/>
      <c r="I905" s="20"/>
      <c r="J905" s="20"/>
      <c r="K905" s="20"/>
      <c r="L905" s="20"/>
      <c r="M905" s="20"/>
      <c r="N905" s="20"/>
      <c r="O905" s="20"/>
      <c r="P905" s="20"/>
    </row>
    <row r="906" ht="15.75" customHeight="1">
      <c r="A906" s="20"/>
      <c r="B906" s="20"/>
      <c r="C906" s="20"/>
      <c r="D906" s="20"/>
      <c r="E906" s="20"/>
      <c r="F906" s="20"/>
      <c r="G906" s="20"/>
      <c r="H906" s="20"/>
      <c r="I906" s="20"/>
      <c r="J906" s="20"/>
      <c r="K906" s="20"/>
      <c r="L906" s="20"/>
      <c r="M906" s="20"/>
      <c r="N906" s="20"/>
      <c r="O906" s="20"/>
      <c r="P906" s="20"/>
    </row>
    <row r="907" ht="15.75" customHeight="1">
      <c r="A907" s="20"/>
      <c r="B907" s="20"/>
      <c r="C907" s="20"/>
      <c r="D907" s="20"/>
      <c r="E907" s="20"/>
      <c r="F907" s="20"/>
      <c r="G907" s="20"/>
      <c r="H907" s="20"/>
      <c r="I907" s="20"/>
      <c r="J907" s="20"/>
      <c r="K907" s="20"/>
      <c r="L907" s="20"/>
      <c r="M907" s="20"/>
      <c r="N907" s="20"/>
      <c r="O907" s="20"/>
      <c r="P907" s="20"/>
    </row>
    <row r="908" ht="15.75" customHeight="1">
      <c r="A908" s="20"/>
      <c r="B908" s="20"/>
      <c r="C908" s="20"/>
      <c r="D908" s="20"/>
      <c r="E908" s="20"/>
      <c r="F908" s="20"/>
      <c r="G908" s="20"/>
      <c r="H908" s="20"/>
      <c r="I908" s="20"/>
      <c r="J908" s="20"/>
      <c r="K908" s="20"/>
      <c r="L908" s="20"/>
      <c r="M908" s="20"/>
      <c r="N908" s="20"/>
      <c r="O908" s="20"/>
      <c r="P908" s="20"/>
    </row>
    <row r="909" ht="15.75" customHeight="1">
      <c r="A909" s="20"/>
      <c r="B909" s="20"/>
      <c r="C909" s="20"/>
      <c r="D909" s="20"/>
      <c r="E909" s="20"/>
      <c r="F909" s="20"/>
      <c r="G909" s="20"/>
      <c r="H909" s="20"/>
      <c r="I909" s="20"/>
      <c r="J909" s="20"/>
      <c r="K909" s="20"/>
      <c r="L909" s="20"/>
      <c r="M909" s="20"/>
      <c r="N909" s="20"/>
      <c r="O909" s="20"/>
      <c r="P909" s="20"/>
    </row>
    <row r="910" ht="15.75" customHeight="1">
      <c r="A910" s="20"/>
      <c r="B910" s="20"/>
      <c r="C910" s="20"/>
      <c r="D910" s="20"/>
      <c r="E910" s="20"/>
      <c r="F910" s="20"/>
      <c r="G910" s="20"/>
      <c r="H910" s="20"/>
      <c r="I910" s="20"/>
      <c r="J910" s="20"/>
      <c r="K910" s="20"/>
      <c r="L910" s="20"/>
      <c r="M910" s="20"/>
      <c r="N910" s="20"/>
      <c r="O910" s="20"/>
      <c r="P910" s="20"/>
    </row>
    <row r="911" ht="15.75" customHeight="1">
      <c r="A911" s="20"/>
      <c r="B911" s="20"/>
      <c r="C911" s="20"/>
      <c r="D911" s="20"/>
      <c r="E911" s="20"/>
      <c r="F911" s="20"/>
      <c r="G911" s="20"/>
      <c r="H911" s="20"/>
      <c r="I911" s="20"/>
      <c r="J911" s="20"/>
      <c r="K911" s="20"/>
      <c r="L911" s="20"/>
      <c r="M911" s="20"/>
      <c r="N911" s="20"/>
      <c r="O911" s="20"/>
      <c r="P911" s="20"/>
    </row>
    <row r="912" ht="15.75" customHeight="1">
      <c r="A912" s="20"/>
      <c r="B912" s="20"/>
      <c r="C912" s="20"/>
      <c r="D912" s="20"/>
      <c r="E912" s="20"/>
      <c r="F912" s="20"/>
      <c r="G912" s="20"/>
      <c r="H912" s="20"/>
      <c r="I912" s="20"/>
      <c r="J912" s="20"/>
      <c r="K912" s="20"/>
      <c r="L912" s="20"/>
      <c r="M912" s="20"/>
      <c r="N912" s="20"/>
      <c r="O912" s="20"/>
      <c r="P912" s="20"/>
    </row>
    <row r="913" ht="15.75" customHeight="1">
      <c r="A913" s="20"/>
      <c r="B913" s="20"/>
      <c r="C913" s="20"/>
      <c r="D913" s="20"/>
      <c r="E913" s="20"/>
      <c r="F913" s="20"/>
      <c r="G913" s="20"/>
      <c r="H913" s="20"/>
      <c r="I913" s="20"/>
      <c r="J913" s="20"/>
      <c r="K913" s="20"/>
      <c r="L913" s="20"/>
      <c r="M913" s="20"/>
      <c r="N913" s="20"/>
      <c r="O913" s="20"/>
      <c r="P913" s="20"/>
    </row>
    <row r="914" ht="15.75" customHeight="1">
      <c r="A914" s="20"/>
      <c r="B914" s="20"/>
      <c r="C914" s="20"/>
      <c r="D914" s="20"/>
      <c r="E914" s="20"/>
      <c r="F914" s="20"/>
      <c r="G914" s="20"/>
      <c r="H914" s="20"/>
      <c r="I914" s="20"/>
      <c r="J914" s="20"/>
      <c r="K914" s="20"/>
      <c r="L914" s="20"/>
      <c r="M914" s="20"/>
      <c r="N914" s="20"/>
      <c r="O914" s="20"/>
      <c r="P914" s="20"/>
    </row>
    <row r="915" ht="15.75" customHeight="1">
      <c r="A915" s="20"/>
      <c r="B915" s="20"/>
      <c r="C915" s="20"/>
      <c r="D915" s="20"/>
      <c r="E915" s="20"/>
      <c r="F915" s="20"/>
      <c r="G915" s="20"/>
      <c r="H915" s="20"/>
      <c r="I915" s="20"/>
      <c r="J915" s="20"/>
      <c r="K915" s="20"/>
      <c r="L915" s="20"/>
      <c r="M915" s="20"/>
      <c r="N915" s="20"/>
      <c r="O915" s="20"/>
      <c r="P915" s="20"/>
    </row>
    <row r="916" ht="15.75" customHeight="1">
      <c r="A916" s="20"/>
      <c r="B916" s="20"/>
      <c r="C916" s="20"/>
      <c r="D916" s="20"/>
      <c r="E916" s="20"/>
      <c r="F916" s="20"/>
      <c r="G916" s="20"/>
      <c r="H916" s="20"/>
      <c r="I916" s="20"/>
      <c r="J916" s="20"/>
      <c r="K916" s="20"/>
      <c r="L916" s="20"/>
      <c r="M916" s="20"/>
      <c r="N916" s="20"/>
      <c r="O916" s="20"/>
      <c r="P916" s="20"/>
    </row>
    <row r="917" ht="15.75" customHeight="1">
      <c r="A917" s="20"/>
      <c r="B917" s="20"/>
      <c r="C917" s="20"/>
      <c r="D917" s="20"/>
      <c r="E917" s="20"/>
      <c r="F917" s="20"/>
      <c r="G917" s="20"/>
      <c r="H917" s="20"/>
      <c r="I917" s="20"/>
      <c r="J917" s="20"/>
      <c r="K917" s="20"/>
      <c r="L917" s="20"/>
      <c r="M917" s="20"/>
      <c r="N917" s="20"/>
      <c r="O917" s="20"/>
      <c r="P917" s="20"/>
    </row>
    <row r="918" ht="15.75" customHeight="1">
      <c r="A918" s="20"/>
      <c r="B918" s="20"/>
      <c r="C918" s="20"/>
      <c r="D918" s="20"/>
      <c r="E918" s="20"/>
      <c r="F918" s="20"/>
      <c r="G918" s="20"/>
      <c r="H918" s="20"/>
      <c r="I918" s="20"/>
      <c r="J918" s="20"/>
      <c r="K918" s="20"/>
      <c r="L918" s="20"/>
      <c r="M918" s="20"/>
      <c r="N918" s="20"/>
      <c r="O918" s="20"/>
      <c r="P918" s="20"/>
    </row>
    <row r="919" ht="15.75" customHeight="1">
      <c r="A919" s="20"/>
      <c r="B919" s="20"/>
      <c r="C919" s="20"/>
      <c r="D919" s="20"/>
      <c r="E919" s="20"/>
      <c r="F919" s="20"/>
      <c r="G919" s="20"/>
      <c r="H919" s="20"/>
      <c r="I919" s="20"/>
      <c r="J919" s="20"/>
      <c r="K919" s="20"/>
      <c r="L919" s="20"/>
      <c r="M919" s="20"/>
      <c r="N919" s="20"/>
      <c r="O919" s="20"/>
      <c r="P919" s="20"/>
    </row>
    <row r="920" ht="15.75" customHeight="1">
      <c r="A920" s="20"/>
      <c r="B920" s="20"/>
      <c r="C920" s="20"/>
      <c r="D920" s="20"/>
      <c r="E920" s="20"/>
      <c r="F920" s="20"/>
      <c r="G920" s="20"/>
      <c r="H920" s="20"/>
      <c r="I920" s="20"/>
      <c r="J920" s="20"/>
      <c r="K920" s="20"/>
      <c r="L920" s="20"/>
      <c r="M920" s="20"/>
      <c r="N920" s="20"/>
      <c r="O920" s="20"/>
      <c r="P920" s="20"/>
    </row>
    <row r="921" ht="15.75" customHeight="1">
      <c r="A921" s="20"/>
      <c r="B921" s="20"/>
      <c r="C921" s="20"/>
      <c r="D921" s="20"/>
      <c r="E921" s="20"/>
      <c r="F921" s="20"/>
      <c r="G921" s="20"/>
      <c r="H921" s="20"/>
      <c r="I921" s="20"/>
      <c r="J921" s="20"/>
      <c r="K921" s="20"/>
      <c r="L921" s="20"/>
      <c r="M921" s="20"/>
      <c r="N921" s="20"/>
      <c r="O921" s="20"/>
      <c r="P921" s="20"/>
    </row>
    <row r="922" ht="15.75" customHeight="1">
      <c r="A922" s="20"/>
      <c r="B922" s="20"/>
      <c r="C922" s="20"/>
      <c r="D922" s="20"/>
      <c r="E922" s="20"/>
      <c r="F922" s="20"/>
      <c r="G922" s="20"/>
      <c r="H922" s="20"/>
      <c r="I922" s="20"/>
      <c r="J922" s="20"/>
      <c r="K922" s="20"/>
      <c r="L922" s="20"/>
      <c r="M922" s="20"/>
      <c r="N922" s="20"/>
      <c r="O922" s="20"/>
      <c r="P922" s="20"/>
    </row>
    <row r="923" ht="15.75" customHeight="1">
      <c r="A923" s="20"/>
      <c r="B923" s="20"/>
      <c r="C923" s="20"/>
      <c r="D923" s="20"/>
      <c r="E923" s="20"/>
      <c r="F923" s="20"/>
      <c r="G923" s="20"/>
      <c r="H923" s="20"/>
      <c r="I923" s="20"/>
      <c r="J923" s="20"/>
      <c r="K923" s="20"/>
      <c r="L923" s="20"/>
      <c r="M923" s="20"/>
      <c r="N923" s="20"/>
      <c r="O923" s="20"/>
      <c r="P923" s="20"/>
    </row>
    <row r="924" ht="15.75" customHeight="1">
      <c r="A924" s="20"/>
      <c r="B924" s="20"/>
      <c r="C924" s="20"/>
      <c r="D924" s="20"/>
      <c r="E924" s="20"/>
      <c r="F924" s="20"/>
      <c r="G924" s="20"/>
      <c r="H924" s="20"/>
      <c r="I924" s="20"/>
      <c r="J924" s="20"/>
      <c r="K924" s="20"/>
      <c r="L924" s="20"/>
      <c r="M924" s="20"/>
      <c r="N924" s="20"/>
      <c r="O924" s="20"/>
      <c r="P924" s="20"/>
    </row>
    <row r="925" ht="15.75" customHeight="1">
      <c r="A925" s="20"/>
      <c r="B925" s="20"/>
      <c r="C925" s="20"/>
      <c r="D925" s="20"/>
      <c r="E925" s="20"/>
      <c r="F925" s="20"/>
      <c r="G925" s="20"/>
      <c r="H925" s="20"/>
      <c r="I925" s="20"/>
      <c r="J925" s="20"/>
      <c r="K925" s="20"/>
      <c r="L925" s="20"/>
      <c r="M925" s="20"/>
      <c r="N925" s="20"/>
      <c r="O925" s="20"/>
      <c r="P925" s="20"/>
    </row>
    <row r="926" ht="15.75" customHeight="1">
      <c r="A926" s="20"/>
      <c r="B926" s="20"/>
      <c r="C926" s="20"/>
      <c r="D926" s="20"/>
      <c r="E926" s="20"/>
      <c r="F926" s="20"/>
      <c r="G926" s="20"/>
      <c r="H926" s="20"/>
      <c r="I926" s="20"/>
      <c r="J926" s="20"/>
      <c r="K926" s="20"/>
      <c r="L926" s="20"/>
      <c r="M926" s="20"/>
      <c r="N926" s="20"/>
      <c r="O926" s="20"/>
      <c r="P926" s="20"/>
    </row>
    <row r="927" ht="15.75" customHeight="1">
      <c r="A927" s="20"/>
      <c r="B927" s="20"/>
      <c r="C927" s="20"/>
      <c r="D927" s="20"/>
      <c r="E927" s="20"/>
      <c r="F927" s="20"/>
      <c r="G927" s="20"/>
      <c r="H927" s="20"/>
      <c r="I927" s="20"/>
      <c r="J927" s="20"/>
      <c r="K927" s="20"/>
      <c r="L927" s="20"/>
      <c r="M927" s="20"/>
      <c r="N927" s="20"/>
      <c r="O927" s="20"/>
      <c r="P927" s="20"/>
    </row>
    <row r="928" ht="15.75" customHeight="1">
      <c r="A928" s="20"/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</row>
    <row r="929" ht="15.75" customHeight="1">
      <c r="A929" s="20"/>
      <c r="B929" s="20"/>
      <c r="C929" s="20"/>
      <c r="D929" s="20"/>
      <c r="E929" s="20"/>
      <c r="F929" s="20"/>
      <c r="G929" s="20"/>
      <c r="H929" s="20"/>
      <c r="I929" s="20"/>
      <c r="J929" s="20"/>
      <c r="K929" s="20"/>
      <c r="L929" s="20"/>
      <c r="M929" s="20"/>
      <c r="N929" s="20"/>
      <c r="O929" s="20"/>
      <c r="P929" s="20"/>
    </row>
    <row r="930" ht="15.75" customHeight="1">
      <c r="A930" s="20"/>
      <c r="B930" s="20"/>
      <c r="C930" s="20"/>
      <c r="D930" s="20"/>
      <c r="E930" s="20"/>
      <c r="F930" s="20"/>
      <c r="G930" s="20"/>
      <c r="H930" s="20"/>
      <c r="I930" s="20"/>
      <c r="J930" s="20"/>
      <c r="K930" s="20"/>
      <c r="L930" s="20"/>
      <c r="M930" s="20"/>
      <c r="N930" s="20"/>
      <c r="O930" s="20"/>
      <c r="P930" s="20"/>
    </row>
    <row r="931" ht="15.75" customHeight="1">
      <c r="A931" s="20"/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</row>
    <row r="932" ht="15.75" customHeight="1">
      <c r="A932" s="20"/>
      <c r="B932" s="20"/>
      <c r="C932" s="20"/>
      <c r="D932" s="20"/>
      <c r="E932" s="20"/>
      <c r="F932" s="20"/>
      <c r="G932" s="20"/>
      <c r="H932" s="20"/>
      <c r="I932" s="20"/>
      <c r="J932" s="20"/>
      <c r="K932" s="20"/>
      <c r="L932" s="20"/>
      <c r="M932" s="20"/>
      <c r="N932" s="20"/>
      <c r="O932" s="20"/>
      <c r="P932" s="20"/>
    </row>
    <row r="933" ht="15.75" customHeight="1">
      <c r="A933" s="20"/>
      <c r="B933" s="20"/>
      <c r="C933" s="20"/>
      <c r="D933" s="20"/>
      <c r="E933" s="20"/>
      <c r="F933" s="20"/>
      <c r="G933" s="20"/>
      <c r="H933" s="20"/>
      <c r="I933" s="20"/>
      <c r="J933" s="20"/>
      <c r="K933" s="20"/>
      <c r="L933" s="20"/>
      <c r="M933" s="20"/>
      <c r="N933" s="20"/>
      <c r="O933" s="20"/>
      <c r="P933" s="20"/>
    </row>
    <row r="934" ht="15.75" customHeight="1">
      <c r="A934" s="20"/>
      <c r="B934" s="20"/>
      <c r="C934" s="20"/>
      <c r="D934" s="20"/>
      <c r="E934" s="20"/>
      <c r="F934" s="20"/>
      <c r="G934" s="20"/>
      <c r="H934" s="20"/>
      <c r="I934" s="20"/>
      <c r="J934" s="20"/>
      <c r="K934" s="20"/>
      <c r="L934" s="20"/>
      <c r="M934" s="20"/>
      <c r="N934" s="20"/>
      <c r="O934" s="20"/>
      <c r="P934" s="20"/>
    </row>
    <row r="935" ht="15.75" customHeight="1">
      <c r="A935" s="20"/>
      <c r="B935" s="20"/>
      <c r="C935" s="20"/>
      <c r="D935" s="20"/>
      <c r="E935" s="20"/>
      <c r="F935" s="20"/>
      <c r="G935" s="20"/>
      <c r="H935" s="20"/>
      <c r="I935" s="20"/>
      <c r="J935" s="20"/>
      <c r="K935" s="20"/>
      <c r="L935" s="20"/>
      <c r="M935" s="20"/>
      <c r="N935" s="20"/>
      <c r="O935" s="20"/>
      <c r="P935" s="20"/>
    </row>
    <row r="936" ht="15.75" customHeight="1">
      <c r="A936" s="20"/>
      <c r="B936" s="20"/>
      <c r="C936" s="20"/>
      <c r="D936" s="20"/>
      <c r="E936" s="20"/>
      <c r="F936" s="20"/>
      <c r="G936" s="20"/>
      <c r="H936" s="20"/>
      <c r="I936" s="20"/>
      <c r="J936" s="20"/>
      <c r="K936" s="20"/>
      <c r="L936" s="20"/>
      <c r="M936" s="20"/>
      <c r="N936" s="20"/>
      <c r="O936" s="20"/>
      <c r="P936" s="20"/>
    </row>
    <row r="937" ht="15.75" customHeight="1">
      <c r="A937" s="20"/>
      <c r="B937" s="20"/>
      <c r="C937" s="20"/>
      <c r="D937" s="20"/>
      <c r="E937" s="20"/>
      <c r="F937" s="20"/>
      <c r="G937" s="20"/>
      <c r="H937" s="20"/>
      <c r="I937" s="20"/>
      <c r="J937" s="20"/>
      <c r="K937" s="20"/>
      <c r="L937" s="20"/>
      <c r="M937" s="20"/>
      <c r="N937" s="20"/>
      <c r="O937" s="20"/>
      <c r="P937" s="20"/>
    </row>
    <row r="938" ht="15.75" customHeight="1">
      <c r="A938" s="20"/>
      <c r="B938" s="20"/>
      <c r="C938" s="20"/>
      <c r="D938" s="20"/>
      <c r="E938" s="20"/>
      <c r="F938" s="20"/>
      <c r="G938" s="20"/>
      <c r="H938" s="20"/>
      <c r="I938" s="20"/>
      <c r="J938" s="20"/>
      <c r="K938" s="20"/>
      <c r="L938" s="20"/>
      <c r="M938" s="20"/>
      <c r="N938" s="20"/>
      <c r="O938" s="20"/>
      <c r="P938" s="20"/>
    </row>
    <row r="939" ht="15.75" customHeight="1">
      <c r="A939" s="20"/>
      <c r="B939" s="20"/>
      <c r="C939" s="20"/>
      <c r="D939" s="20"/>
      <c r="E939" s="20"/>
      <c r="F939" s="20"/>
      <c r="G939" s="20"/>
      <c r="H939" s="20"/>
      <c r="I939" s="20"/>
      <c r="J939" s="20"/>
      <c r="K939" s="20"/>
      <c r="L939" s="20"/>
      <c r="M939" s="20"/>
      <c r="N939" s="20"/>
      <c r="O939" s="20"/>
      <c r="P939" s="20"/>
    </row>
    <row r="940" ht="15.75" customHeight="1">
      <c r="A940" s="20"/>
      <c r="B940" s="20"/>
      <c r="C940" s="20"/>
      <c r="D940" s="20"/>
      <c r="E940" s="20"/>
      <c r="F940" s="20"/>
      <c r="G940" s="20"/>
      <c r="H940" s="20"/>
      <c r="I940" s="20"/>
      <c r="J940" s="20"/>
      <c r="K940" s="20"/>
      <c r="L940" s="20"/>
      <c r="M940" s="20"/>
      <c r="N940" s="20"/>
      <c r="O940" s="20"/>
      <c r="P940" s="20"/>
    </row>
    <row r="941" ht="15.75" customHeight="1">
      <c r="A941" s="20"/>
      <c r="B941" s="20"/>
      <c r="C941" s="20"/>
      <c r="D941" s="20"/>
      <c r="E941" s="20"/>
      <c r="F941" s="20"/>
      <c r="G941" s="20"/>
      <c r="H941" s="20"/>
      <c r="I941" s="20"/>
      <c r="J941" s="20"/>
      <c r="K941" s="20"/>
      <c r="L941" s="20"/>
      <c r="M941" s="20"/>
      <c r="N941" s="20"/>
      <c r="O941" s="20"/>
      <c r="P941" s="20"/>
    </row>
    <row r="942" ht="15.75" customHeight="1">
      <c r="A942" s="20"/>
      <c r="B942" s="20"/>
      <c r="C942" s="20"/>
      <c r="D942" s="20"/>
      <c r="E942" s="20"/>
      <c r="F942" s="20"/>
      <c r="G942" s="20"/>
      <c r="H942" s="20"/>
      <c r="I942" s="20"/>
      <c r="J942" s="20"/>
      <c r="K942" s="20"/>
      <c r="L942" s="20"/>
      <c r="M942" s="20"/>
      <c r="N942" s="20"/>
      <c r="O942" s="20"/>
      <c r="P942" s="20"/>
    </row>
    <row r="943" ht="15.75" customHeight="1">
      <c r="A943" s="20"/>
      <c r="B943" s="20"/>
      <c r="C943" s="20"/>
      <c r="D943" s="20"/>
      <c r="E943" s="20"/>
      <c r="F943" s="20"/>
      <c r="G943" s="20"/>
      <c r="H943" s="20"/>
      <c r="I943" s="20"/>
      <c r="J943" s="20"/>
      <c r="K943" s="20"/>
      <c r="L943" s="20"/>
      <c r="M943" s="20"/>
      <c r="N943" s="20"/>
      <c r="O943" s="20"/>
      <c r="P943" s="20"/>
    </row>
    <row r="944" ht="15.75" customHeight="1">
      <c r="A944" s="20"/>
      <c r="B944" s="20"/>
      <c r="C944" s="20"/>
      <c r="D944" s="20"/>
      <c r="E944" s="20"/>
      <c r="F944" s="20"/>
      <c r="G944" s="20"/>
      <c r="H944" s="20"/>
      <c r="I944" s="20"/>
      <c r="J944" s="20"/>
      <c r="K944" s="20"/>
      <c r="L944" s="20"/>
      <c r="M944" s="20"/>
      <c r="N944" s="20"/>
      <c r="O944" s="20"/>
      <c r="P944" s="20"/>
    </row>
    <row r="945" ht="15.75" customHeight="1">
      <c r="A945" s="20"/>
      <c r="B945" s="20"/>
      <c r="C945" s="20"/>
      <c r="D945" s="20"/>
      <c r="E945" s="20"/>
      <c r="F945" s="20"/>
      <c r="G945" s="20"/>
      <c r="H945" s="20"/>
      <c r="I945" s="20"/>
      <c r="J945" s="20"/>
      <c r="K945" s="20"/>
      <c r="L945" s="20"/>
      <c r="M945" s="20"/>
      <c r="N945" s="20"/>
      <c r="O945" s="20"/>
      <c r="P945" s="20"/>
    </row>
    <row r="946" ht="15.75" customHeight="1">
      <c r="A946" s="20"/>
      <c r="B946" s="20"/>
      <c r="C946" s="20"/>
      <c r="D946" s="20"/>
      <c r="E946" s="20"/>
      <c r="F946" s="20"/>
      <c r="G946" s="20"/>
      <c r="H946" s="20"/>
      <c r="I946" s="20"/>
      <c r="J946" s="20"/>
      <c r="K946" s="20"/>
      <c r="L946" s="20"/>
      <c r="M946" s="20"/>
      <c r="N946" s="20"/>
      <c r="O946" s="20"/>
      <c r="P946" s="20"/>
    </row>
    <row r="947" ht="15.75" customHeight="1">
      <c r="A947" s="20"/>
      <c r="B947" s="20"/>
      <c r="C947" s="20"/>
      <c r="D947" s="20"/>
      <c r="E947" s="20"/>
      <c r="F947" s="20"/>
      <c r="G947" s="20"/>
      <c r="H947" s="20"/>
      <c r="I947" s="20"/>
      <c r="J947" s="20"/>
      <c r="K947" s="20"/>
      <c r="L947" s="20"/>
      <c r="M947" s="20"/>
      <c r="N947" s="20"/>
      <c r="O947" s="20"/>
      <c r="P947" s="20"/>
    </row>
    <row r="948" ht="15.75" customHeight="1">
      <c r="A948" s="20"/>
      <c r="B948" s="20"/>
      <c r="C948" s="20"/>
      <c r="D948" s="20"/>
      <c r="E948" s="20"/>
      <c r="F948" s="20"/>
      <c r="G948" s="20"/>
      <c r="H948" s="20"/>
      <c r="I948" s="20"/>
      <c r="J948" s="20"/>
      <c r="K948" s="20"/>
      <c r="L948" s="20"/>
      <c r="M948" s="20"/>
      <c r="N948" s="20"/>
      <c r="O948" s="20"/>
      <c r="P948" s="20"/>
    </row>
    <row r="949" ht="15.75" customHeight="1">
      <c r="A949" s="20"/>
      <c r="B949" s="20"/>
      <c r="C949" s="20"/>
      <c r="D949" s="20"/>
      <c r="E949" s="20"/>
      <c r="F949" s="20"/>
      <c r="G949" s="20"/>
      <c r="H949" s="20"/>
      <c r="I949" s="20"/>
      <c r="J949" s="20"/>
      <c r="K949" s="20"/>
      <c r="L949" s="20"/>
      <c r="M949" s="20"/>
      <c r="N949" s="20"/>
      <c r="O949" s="20"/>
      <c r="P949" s="20"/>
    </row>
    <row r="950" ht="15.75" customHeight="1">
      <c r="A950" s="20"/>
      <c r="B950" s="20"/>
      <c r="C950" s="20"/>
      <c r="D950" s="20"/>
      <c r="E950" s="20"/>
      <c r="F950" s="20"/>
      <c r="G950" s="20"/>
      <c r="H950" s="20"/>
      <c r="I950" s="20"/>
      <c r="J950" s="20"/>
      <c r="K950" s="20"/>
      <c r="L950" s="20"/>
      <c r="M950" s="20"/>
      <c r="N950" s="20"/>
      <c r="O950" s="20"/>
      <c r="P950" s="20"/>
    </row>
    <row r="951" ht="15.75" customHeight="1">
      <c r="A951" s="20"/>
      <c r="B951" s="20"/>
      <c r="C951" s="20"/>
      <c r="D951" s="20"/>
      <c r="E951" s="20"/>
      <c r="F951" s="20"/>
      <c r="G951" s="20"/>
      <c r="H951" s="20"/>
      <c r="I951" s="20"/>
      <c r="J951" s="20"/>
      <c r="K951" s="20"/>
      <c r="L951" s="20"/>
      <c r="M951" s="20"/>
      <c r="N951" s="20"/>
      <c r="O951" s="20"/>
      <c r="P951" s="20"/>
    </row>
    <row r="952" ht="15.75" customHeight="1">
      <c r="A952" s="20"/>
      <c r="B952" s="20"/>
      <c r="C952" s="20"/>
      <c r="D952" s="20"/>
      <c r="E952" s="20"/>
      <c r="F952" s="20"/>
      <c r="G952" s="20"/>
      <c r="H952" s="20"/>
      <c r="I952" s="20"/>
      <c r="J952" s="20"/>
      <c r="K952" s="20"/>
      <c r="L952" s="20"/>
      <c r="M952" s="20"/>
      <c r="N952" s="20"/>
      <c r="O952" s="20"/>
      <c r="P952" s="20"/>
    </row>
    <row r="953" ht="15.75" customHeight="1">
      <c r="A953" s="20"/>
      <c r="B953" s="20"/>
      <c r="C953" s="20"/>
      <c r="D953" s="20"/>
      <c r="E953" s="20"/>
      <c r="F953" s="20"/>
      <c r="G953" s="20"/>
      <c r="H953" s="20"/>
      <c r="I953" s="20"/>
      <c r="J953" s="20"/>
      <c r="K953" s="20"/>
      <c r="L953" s="20"/>
      <c r="M953" s="20"/>
      <c r="N953" s="20"/>
      <c r="O953" s="20"/>
      <c r="P953" s="20"/>
    </row>
    <row r="954" ht="15.75" customHeight="1">
      <c r="A954" s="20"/>
      <c r="B954" s="20"/>
      <c r="C954" s="20"/>
      <c r="D954" s="20"/>
      <c r="E954" s="20"/>
      <c r="F954" s="20"/>
      <c r="G954" s="20"/>
      <c r="H954" s="20"/>
      <c r="I954" s="20"/>
      <c r="J954" s="20"/>
      <c r="K954" s="20"/>
      <c r="L954" s="20"/>
      <c r="M954" s="20"/>
      <c r="N954" s="20"/>
      <c r="O954" s="20"/>
      <c r="P954" s="20"/>
    </row>
    <row r="955" ht="15.75" customHeight="1">
      <c r="A955" s="20"/>
      <c r="B955" s="20"/>
      <c r="C955" s="20"/>
      <c r="D955" s="20"/>
      <c r="E955" s="20"/>
      <c r="F955" s="20"/>
      <c r="G955" s="20"/>
      <c r="H955" s="20"/>
      <c r="I955" s="20"/>
      <c r="J955" s="20"/>
      <c r="K955" s="20"/>
      <c r="L955" s="20"/>
      <c r="M955" s="20"/>
      <c r="N955" s="20"/>
      <c r="O955" s="20"/>
      <c r="P955" s="20"/>
    </row>
    <row r="956" ht="15.75" customHeight="1">
      <c r="A956" s="20"/>
      <c r="B956" s="20"/>
      <c r="C956" s="20"/>
      <c r="D956" s="20"/>
      <c r="E956" s="20"/>
      <c r="F956" s="20"/>
      <c r="G956" s="20"/>
      <c r="H956" s="20"/>
      <c r="I956" s="20"/>
      <c r="J956" s="20"/>
      <c r="K956" s="20"/>
      <c r="L956" s="20"/>
      <c r="M956" s="20"/>
      <c r="N956" s="20"/>
      <c r="O956" s="20"/>
      <c r="P956" s="20"/>
    </row>
    <row r="957" ht="15.75" customHeight="1">
      <c r="A957" s="20"/>
      <c r="B957" s="20"/>
      <c r="C957" s="20"/>
      <c r="D957" s="20"/>
      <c r="E957" s="20"/>
      <c r="F957" s="20"/>
      <c r="G957" s="20"/>
      <c r="H957" s="20"/>
      <c r="I957" s="20"/>
      <c r="J957" s="20"/>
      <c r="K957" s="20"/>
      <c r="L957" s="20"/>
      <c r="M957" s="20"/>
      <c r="N957" s="20"/>
      <c r="O957" s="20"/>
      <c r="P957" s="20"/>
    </row>
    <row r="958" ht="15.75" customHeight="1">
      <c r="A958" s="20"/>
      <c r="B958" s="20"/>
      <c r="C958" s="20"/>
      <c r="D958" s="20"/>
      <c r="E958" s="20"/>
      <c r="F958" s="20"/>
      <c r="G958" s="20"/>
      <c r="H958" s="20"/>
      <c r="I958" s="20"/>
      <c r="J958" s="20"/>
      <c r="K958" s="20"/>
      <c r="L958" s="20"/>
      <c r="M958" s="20"/>
      <c r="N958" s="20"/>
      <c r="O958" s="20"/>
      <c r="P958" s="20"/>
    </row>
    <row r="959" ht="15.75" customHeight="1">
      <c r="A959" s="20"/>
      <c r="B959" s="20"/>
      <c r="C959" s="20"/>
      <c r="D959" s="20"/>
      <c r="E959" s="20"/>
      <c r="F959" s="20"/>
      <c r="G959" s="20"/>
      <c r="H959" s="20"/>
      <c r="I959" s="20"/>
      <c r="J959" s="20"/>
      <c r="K959" s="20"/>
      <c r="L959" s="20"/>
      <c r="M959" s="20"/>
      <c r="N959" s="20"/>
      <c r="O959" s="20"/>
      <c r="P959" s="20"/>
    </row>
    <row r="960" ht="15.75" customHeight="1">
      <c r="A960" s="20"/>
      <c r="B960" s="20"/>
      <c r="C960" s="20"/>
      <c r="D960" s="20"/>
      <c r="E960" s="20"/>
      <c r="F960" s="20"/>
      <c r="G960" s="20"/>
      <c r="H960" s="20"/>
      <c r="I960" s="20"/>
      <c r="J960" s="20"/>
      <c r="K960" s="20"/>
      <c r="L960" s="20"/>
      <c r="M960" s="20"/>
      <c r="N960" s="20"/>
      <c r="O960" s="20"/>
      <c r="P960" s="20"/>
    </row>
    <row r="961" ht="15.75" customHeight="1">
      <c r="A961" s="20"/>
      <c r="B961" s="20"/>
      <c r="C961" s="20"/>
      <c r="D961" s="20"/>
      <c r="E961" s="20"/>
      <c r="F961" s="20"/>
      <c r="G961" s="20"/>
      <c r="H961" s="20"/>
      <c r="I961" s="20"/>
      <c r="J961" s="20"/>
      <c r="K961" s="20"/>
      <c r="L961" s="20"/>
      <c r="M961" s="20"/>
      <c r="N961" s="20"/>
      <c r="O961" s="20"/>
      <c r="P961" s="20"/>
    </row>
    <row r="962" ht="15.75" customHeight="1">
      <c r="A962" s="20"/>
      <c r="B962" s="20"/>
      <c r="C962" s="20"/>
      <c r="D962" s="20"/>
      <c r="E962" s="20"/>
      <c r="F962" s="20"/>
      <c r="G962" s="20"/>
      <c r="H962" s="20"/>
      <c r="I962" s="20"/>
      <c r="J962" s="20"/>
      <c r="K962" s="20"/>
      <c r="L962" s="20"/>
      <c r="M962" s="20"/>
      <c r="N962" s="20"/>
      <c r="O962" s="20"/>
      <c r="P962" s="20"/>
    </row>
    <row r="963" ht="15.75" customHeight="1">
      <c r="A963" s="20"/>
      <c r="B963" s="20"/>
      <c r="C963" s="20"/>
      <c r="D963" s="20"/>
      <c r="E963" s="20"/>
      <c r="F963" s="20"/>
      <c r="G963" s="20"/>
      <c r="H963" s="20"/>
      <c r="I963" s="20"/>
      <c r="J963" s="20"/>
      <c r="K963" s="20"/>
      <c r="L963" s="20"/>
      <c r="M963" s="20"/>
      <c r="N963" s="20"/>
      <c r="O963" s="20"/>
      <c r="P963" s="20"/>
    </row>
    <row r="964" ht="15.75" customHeight="1">
      <c r="A964" s="20"/>
      <c r="B964" s="20"/>
      <c r="C964" s="20"/>
      <c r="D964" s="20"/>
      <c r="E964" s="20"/>
      <c r="F964" s="20"/>
      <c r="G964" s="20"/>
      <c r="H964" s="20"/>
      <c r="I964" s="20"/>
      <c r="J964" s="20"/>
      <c r="K964" s="20"/>
      <c r="L964" s="20"/>
      <c r="M964" s="20"/>
      <c r="N964" s="20"/>
      <c r="O964" s="20"/>
      <c r="P964" s="20"/>
    </row>
    <row r="965" ht="15.75" customHeight="1">
      <c r="A965" s="20"/>
      <c r="B965" s="20"/>
      <c r="C965" s="20"/>
      <c r="D965" s="20"/>
      <c r="E965" s="20"/>
      <c r="F965" s="20"/>
      <c r="G965" s="20"/>
      <c r="H965" s="20"/>
      <c r="I965" s="20"/>
      <c r="J965" s="20"/>
      <c r="K965" s="20"/>
      <c r="L965" s="20"/>
      <c r="M965" s="20"/>
      <c r="N965" s="20"/>
      <c r="O965" s="20"/>
      <c r="P965" s="20"/>
    </row>
    <row r="966" ht="15.75" customHeight="1">
      <c r="A966" s="20"/>
      <c r="B966" s="20"/>
      <c r="C966" s="20"/>
      <c r="D966" s="20"/>
      <c r="E966" s="20"/>
      <c r="F966" s="20"/>
      <c r="G966" s="20"/>
      <c r="H966" s="20"/>
      <c r="I966" s="20"/>
      <c r="J966" s="20"/>
      <c r="K966" s="20"/>
      <c r="L966" s="20"/>
      <c r="M966" s="20"/>
      <c r="N966" s="20"/>
      <c r="O966" s="20"/>
      <c r="P966" s="20"/>
    </row>
    <row r="967" ht="15.75" customHeight="1">
      <c r="A967" s="20"/>
      <c r="B967" s="20"/>
      <c r="C967" s="20"/>
      <c r="D967" s="20"/>
      <c r="E967" s="20"/>
      <c r="F967" s="20"/>
      <c r="G967" s="20"/>
      <c r="H967" s="20"/>
      <c r="I967" s="20"/>
      <c r="J967" s="20"/>
      <c r="K967" s="20"/>
      <c r="L967" s="20"/>
      <c r="M967" s="20"/>
      <c r="N967" s="20"/>
      <c r="O967" s="20"/>
      <c r="P967" s="20"/>
    </row>
    <row r="968" ht="15.75" customHeight="1">
      <c r="A968" s="20"/>
      <c r="B968" s="20"/>
      <c r="C968" s="20"/>
      <c r="D968" s="20"/>
      <c r="E968" s="20"/>
      <c r="F968" s="20"/>
      <c r="G968" s="20"/>
      <c r="H968" s="20"/>
      <c r="I968" s="20"/>
      <c r="J968" s="20"/>
      <c r="K968" s="20"/>
      <c r="L968" s="20"/>
      <c r="M968" s="20"/>
      <c r="N968" s="20"/>
      <c r="O968" s="20"/>
      <c r="P968" s="20"/>
    </row>
    <row r="969" ht="15.75" customHeight="1">
      <c r="A969" s="20"/>
      <c r="B969" s="20"/>
      <c r="C969" s="20"/>
      <c r="D969" s="20"/>
      <c r="E969" s="20"/>
      <c r="F969" s="20"/>
      <c r="G969" s="20"/>
      <c r="H969" s="20"/>
      <c r="I969" s="20"/>
      <c r="J969" s="20"/>
      <c r="K969" s="20"/>
      <c r="L969" s="20"/>
      <c r="M969" s="20"/>
      <c r="N969" s="20"/>
      <c r="O969" s="20"/>
      <c r="P969" s="20"/>
    </row>
    <row r="970" ht="15.75" customHeight="1">
      <c r="A970" s="20"/>
      <c r="B970" s="20"/>
      <c r="C970" s="20"/>
      <c r="D970" s="20"/>
      <c r="E970" s="20"/>
      <c r="F970" s="20"/>
      <c r="G970" s="20"/>
      <c r="H970" s="20"/>
      <c r="I970" s="20"/>
      <c r="J970" s="20"/>
      <c r="K970" s="20"/>
      <c r="L970" s="20"/>
      <c r="M970" s="20"/>
      <c r="N970" s="20"/>
      <c r="O970" s="20"/>
      <c r="P970" s="20"/>
    </row>
    <row r="971" ht="15.75" customHeight="1">
      <c r="A971" s="20"/>
      <c r="B971" s="20"/>
      <c r="C971" s="20"/>
      <c r="D971" s="20"/>
      <c r="E971" s="20"/>
      <c r="F971" s="20"/>
      <c r="G971" s="20"/>
      <c r="H971" s="20"/>
      <c r="I971" s="20"/>
      <c r="J971" s="20"/>
      <c r="K971" s="20"/>
      <c r="L971" s="20"/>
      <c r="M971" s="20"/>
      <c r="N971" s="20"/>
      <c r="O971" s="20"/>
      <c r="P971" s="20"/>
    </row>
    <row r="972" ht="15.75" customHeight="1">
      <c r="A972" s="20"/>
      <c r="B972" s="20"/>
      <c r="C972" s="20"/>
      <c r="D972" s="20"/>
      <c r="E972" s="20"/>
      <c r="F972" s="20"/>
      <c r="G972" s="20"/>
      <c r="H972" s="20"/>
      <c r="I972" s="20"/>
      <c r="J972" s="20"/>
      <c r="K972" s="20"/>
      <c r="L972" s="20"/>
      <c r="M972" s="20"/>
      <c r="N972" s="20"/>
      <c r="O972" s="20"/>
      <c r="P972" s="20"/>
    </row>
    <row r="973" ht="15.75" customHeight="1">
      <c r="A973" s="20"/>
      <c r="B973" s="20"/>
      <c r="C973" s="20"/>
      <c r="D973" s="20"/>
      <c r="E973" s="20"/>
      <c r="F973" s="20"/>
      <c r="G973" s="20"/>
      <c r="H973" s="20"/>
      <c r="I973" s="20"/>
      <c r="J973" s="20"/>
      <c r="K973" s="20"/>
      <c r="L973" s="20"/>
      <c r="M973" s="20"/>
      <c r="N973" s="20"/>
      <c r="O973" s="20"/>
      <c r="P973" s="20"/>
    </row>
    <row r="974" ht="15.75" customHeight="1">
      <c r="A974" s="20"/>
      <c r="B974" s="20"/>
      <c r="C974" s="20"/>
      <c r="D974" s="20"/>
      <c r="E974" s="20"/>
      <c r="F974" s="20"/>
      <c r="G974" s="20"/>
      <c r="H974" s="20"/>
      <c r="I974" s="20"/>
      <c r="J974" s="20"/>
      <c r="K974" s="20"/>
      <c r="L974" s="20"/>
      <c r="M974" s="20"/>
      <c r="N974" s="20"/>
      <c r="O974" s="20"/>
      <c r="P974" s="20"/>
    </row>
    <row r="975" ht="15.75" customHeight="1">
      <c r="A975" s="20"/>
      <c r="B975" s="20"/>
      <c r="C975" s="20"/>
      <c r="D975" s="20"/>
      <c r="E975" s="20"/>
      <c r="F975" s="20"/>
      <c r="G975" s="20"/>
      <c r="H975" s="20"/>
      <c r="I975" s="20"/>
      <c r="J975" s="20"/>
      <c r="K975" s="20"/>
      <c r="L975" s="20"/>
      <c r="M975" s="20"/>
      <c r="N975" s="20"/>
      <c r="O975" s="20"/>
      <c r="P975" s="20"/>
    </row>
    <row r="976" ht="15.75" customHeight="1">
      <c r="A976" s="20"/>
      <c r="B976" s="20"/>
      <c r="C976" s="20"/>
      <c r="D976" s="20"/>
      <c r="E976" s="20"/>
      <c r="F976" s="20"/>
      <c r="G976" s="20"/>
      <c r="H976" s="20"/>
      <c r="I976" s="20"/>
      <c r="J976" s="20"/>
      <c r="K976" s="20"/>
      <c r="L976" s="20"/>
      <c r="M976" s="20"/>
      <c r="N976" s="20"/>
      <c r="O976" s="20"/>
      <c r="P976" s="20"/>
    </row>
    <row r="977" ht="15.75" customHeight="1">
      <c r="A977" s="20"/>
      <c r="B977" s="20"/>
      <c r="C977" s="20"/>
      <c r="D977" s="20"/>
      <c r="E977" s="20"/>
      <c r="F977" s="20"/>
      <c r="G977" s="20"/>
      <c r="H977" s="20"/>
      <c r="I977" s="20"/>
      <c r="J977" s="20"/>
      <c r="K977" s="20"/>
      <c r="L977" s="20"/>
      <c r="M977" s="20"/>
      <c r="N977" s="20"/>
      <c r="O977" s="20"/>
      <c r="P977" s="20"/>
    </row>
    <row r="978" ht="15.75" customHeight="1">
      <c r="A978" s="20"/>
      <c r="B978" s="20"/>
      <c r="C978" s="20"/>
      <c r="D978" s="20"/>
      <c r="E978" s="20"/>
      <c r="F978" s="20"/>
      <c r="G978" s="20"/>
      <c r="H978" s="20"/>
      <c r="I978" s="20"/>
      <c r="J978" s="20"/>
      <c r="K978" s="20"/>
      <c r="L978" s="20"/>
      <c r="M978" s="20"/>
      <c r="N978" s="20"/>
      <c r="O978" s="20"/>
      <c r="P978" s="20"/>
    </row>
    <row r="979" ht="15.75" customHeight="1">
      <c r="A979" s="20"/>
      <c r="B979" s="20"/>
      <c r="C979" s="20"/>
      <c r="D979" s="20"/>
      <c r="E979" s="20"/>
      <c r="F979" s="20"/>
      <c r="G979" s="20"/>
      <c r="H979" s="20"/>
      <c r="I979" s="20"/>
      <c r="J979" s="20"/>
      <c r="K979" s="20"/>
      <c r="L979" s="20"/>
      <c r="M979" s="20"/>
      <c r="N979" s="20"/>
      <c r="O979" s="20"/>
      <c r="P979" s="20"/>
    </row>
    <row r="980" ht="15.75" customHeight="1">
      <c r="A980" s="20"/>
      <c r="B980" s="20"/>
      <c r="C980" s="20"/>
      <c r="D980" s="20"/>
      <c r="E980" s="20"/>
      <c r="F980" s="20"/>
      <c r="G980" s="20"/>
      <c r="H980" s="20"/>
      <c r="I980" s="20"/>
      <c r="J980" s="20"/>
      <c r="K980" s="20"/>
      <c r="L980" s="20"/>
      <c r="M980" s="20"/>
      <c r="N980" s="20"/>
      <c r="O980" s="20"/>
      <c r="P980" s="20"/>
    </row>
    <row r="981" ht="15.75" customHeight="1">
      <c r="A981" s="20"/>
      <c r="B981" s="20"/>
      <c r="C981" s="20"/>
      <c r="D981" s="20"/>
      <c r="E981" s="20"/>
      <c r="F981" s="20"/>
      <c r="G981" s="20"/>
      <c r="H981" s="20"/>
      <c r="I981" s="20"/>
      <c r="J981" s="20"/>
      <c r="K981" s="20"/>
      <c r="L981" s="20"/>
      <c r="M981" s="20"/>
      <c r="N981" s="20"/>
      <c r="O981" s="20"/>
      <c r="P981" s="20"/>
    </row>
    <row r="982" ht="15.75" customHeight="1">
      <c r="A982" s="20"/>
      <c r="B982" s="20"/>
      <c r="C982" s="20"/>
      <c r="D982" s="20"/>
      <c r="E982" s="20"/>
      <c r="F982" s="20"/>
      <c r="G982" s="20"/>
      <c r="H982" s="20"/>
      <c r="I982" s="20"/>
      <c r="J982" s="20"/>
      <c r="K982" s="20"/>
      <c r="L982" s="20"/>
      <c r="M982" s="20"/>
      <c r="N982" s="20"/>
      <c r="O982" s="20"/>
      <c r="P982" s="20"/>
    </row>
    <row r="983" ht="15.75" customHeight="1">
      <c r="A983" s="20"/>
      <c r="B983" s="20"/>
      <c r="C983" s="20"/>
      <c r="D983" s="20"/>
      <c r="E983" s="20"/>
      <c r="F983" s="20"/>
      <c r="G983" s="20"/>
      <c r="H983" s="20"/>
      <c r="I983" s="20"/>
      <c r="J983" s="20"/>
      <c r="K983" s="20"/>
      <c r="L983" s="20"/>
      <c r="M983" s="20"/>
      <c r="N983" s="20"/>
      <c r="O983" s="20"/>
      <c r="P983" s="20"/>
    </row>
    <row r="984" ht="15.75" customHeight="1">
      <c r="A984" s="20"/>
      <c r="B984" s="20"/>
      <c r="C984" s="20"/>
      <c r="D984" s="20"/>
      <c r="E984" s="20"/>
      <c r="F984" s="20"/>
      <c r="G984" s="20"/>
      <c r="H984" s="20"/>
      <c r="I984" s="20"/>
      <c r="J984" s="20"/>
      <c r="K984" s="20"/>
      <c r="L984" s="20"/>
      <c r="M984" s="20"/>
      <c r="N984" s="20"/>
      <c r="O984" s="20"/>
      <c r="P984" s="20"/>
    </row>
    <row r="985" ht="15.75" customHeight="1">
      <c r="A985" s="20"/>
      <c r="B985" s="20"/>
      <c r="C985" s="20"/>
      <c r="D985" s="20"/>
      <c r="E985" s="20"/>
      <c r="F985" s="20"/>
      <c r="G985" s="20"/>
      <c r="H985" s="20"/>
      <c r="I985" s="20"/>
      <c r="J985" s="20"/>
      <c r="K985" s="20"/>
      <c r="L985" s="20"/>
      <c r="M985" s="20"/>
      <c r="N985" s="20"/>
      <c r="O985" s="20"/>
      <c r="P985" s="20"/>
    </row>
    <row r="986" ht="15.75" customHeight="1">
      <c r="A986" s="20"/>
      <c r="B986" s="20"/>
      <c r="C986" s="20"/>
      <c r="D986" s="20"/>
      <c r="E986" s="20"/>
      <c r="F986" s="20"/>
      <c r="G986" s="20"/>
      <c r="H986" s="20"/>
      <c r="I986" s="20"/>
      <c r="J986" s="20"/>
      <c r="K986" s="20"/>
      <c r="L986" s="20"/>
      <c r="M986" s="20"/>
      <c r="N986" s="20"/>
      <c r="O986" s="20"/>
      <c r="P986" s="20"/>
    </row>
    <row r="987" ht="15.75" customHeight="1">
      <c r="A987" s="20"/>
      <c r="B987" s="20"/>
      <c r="C987" s="20"/>
      <c r="D987" s="20"/>
      <c r="E987" s="20"/>
      <c r="F987" s="20"/>
      <c r="G987" s="20"/>
      <c r="H987" s="20"/>
      <c r="I987" s="20"/>
      <c r="J987" s="20"/>
      <c r="K987" s="20"/>
      <c r="L987" s="20"/>
      <c r="M987" s="20"/>
      <c r="N987" s="20"/>
      <c r="O987" s="20"/>
      <c r="P987" s="20"/>
    </row>
    <row r="988" ht="15.75" customHeight="1">
      <c r="A988" s="20"/>
      <c r="B988" s="20"/>
      <c r="C988" s="20"/>
      <c r="D988" s="20"/>
      <c r="E988" s="20"/>
      <c r="F988" s="20"/>
      <c r="G988" s="20"/>
      <c r="H988" s="20"/>
      <c r="I988" s="20"/>
      <c r="J988" s="20"/>
      <c r="K988" s="20"/>
      <c r="L988" s="20"/>
      <c r="M988" s="20"/>
      <c r="N988" s="20"/>
      <c r="O988" s="20"/>
      <c r="P988" s="20"/>
    </row>
    <row r="989" ht="15.75" customHeight="1">
      <c r="A989" s="20"/>
      <c r="B989" s="20"/>
      <c r="C989" s="20"/>
      <c r="D989" s="20"/>
      <c r="E989" s="20"/>
      <c r="F989" s="20"/>
      <c r="G989" s="20"/>
      <c r="H989" s="20"/>
      <c r="I989" s="20"/>
      <c r="J989" s="20"/>
      <c r="K989" s="20"/>
      <c r="L989" s="20"/>
      <c r="M989" s="20"/>
      <c r="N989" s="20"/>
      <c r="O989" s="20"/>
      <c r="P989" s="20"/>
    </row>
    <row r="990" ht="15.75" customHeight="1">
      <c r="A990" s="20"/>
      <c r="B990" s="20"/>
      <c r="C990" s="20"/>
      <c r="D990" s="20"/>
      <c r="E990" s="20"/>
      <c r="F990" s="20"/>
      <c r="G990" s="20"/>
      <c r="H990" s="20"/>
      <c r="I990" s="20"/>
      <c r="J990" s="20"/>
      <c r="K990" s="20"/>
      <c r="L990" s="20"/>
      <c r="M990" s="20"/>
      <c r="N990" s="20"/>
      <c r="O990" s="20"/>
      <c r="P990" s="20"/>
    </row>
    <row r="991" ht="15.75" customHeight="1">
      <c r="A991" s="20"/>
      <c r="B991" s="20"/>
      <c r="C991" s="20"/>
      <c r="D991" s="20"/>
      <c r="E991" s="20"/>
      <c r="F991" s="20"/>
      <c r="G991" s="20"/>
      <c r="H991" s="20"/>
      <c r="I991" s="20"/>
      <c r="J991" s="20"/>
      <c r="K991" s="20"/>
      <c r="L991" s="20"/>
      <c r="M991" s="20"/>
      <c r="N991" s="20"/>
      <c r="O991" s="20"/>
      <c r="P991" s="20"/>
    </row>
    <row r="992" ht="15.75" customHeight="1">
      <c r="A992" s="20"/>
      <c r="B992" s="20"/>
      <c r="C992" s="20"/>
      <c r="D992" s="20"/>
      <c r="E992" s="20"/>
      <c r="F992" s="20"/>
      <c r="G992" s="20"/>
      <c r="H992" s="20"/>
      <c r="I992" s="20"/>
      <c r="J992" s="20"/>
      <c r="K992" s="20"/>
      <c r="L992" s="20"/>
      <c r="M992" s="20"/>
      <c r="N992" s="20"/>
      <c r="O992" s="20"/>
      <c r="P992" s="20"/>
    </row>
    <row r="993" ht="15.75" customHeight="1">
      <c r="A993" s="20"/>
      <c r="B993" s="20"/>
      <c r="C993" s="20"/>
      <c r="D993" s="20"/>
      <c r="E993" s="20"/>
      <c r="F993" s="20"/>
      <c r="G993" s="20"/>
      <c r="H993" s="20"/>
      <c r="I993" s="20"/>
      <c r="J993" s="20"/>
      <c r="K993" s="20"/>
      <c r="L993" s="20"/>
      <c r="M993" s="20"/>
      <c r="N993" s="20"/>
      <c r="O993" s="20"/>
      <c r="P993" s="20"/>
    </row>
    <row r="994" ht="15.75" customHeight="1">
      <c r="A994" s="20"/>
      <c r="B994" s="20"/>
      <c r="C994" s="20"/>
      <c r="D994" s="20"/>
      <c r="E994" s="20"/>
      <c r="F994" s="20"/>
      <c r="G994" s="20"/>
      <c r="H994" s="20"/>
      <c r="I994" s="20"/>
      <c r="J994" s="20"/>
      <c r="K994" s="20"/>
      <c r="L994" s="20"/>
      <c r="M994" s="20"/>
      <c r="N994" s="20"/>
      <c r="O994" s="20"/>
      <c r="P994" s="20"/>
    </row>
    <row r="995" ht="15.75" customHeight="1">
      <c r="A995" s="20"/>
      <c r="B995" s="20"/>
      <c r="C995" s="20"/>
      <c r="D995" s="20"/>
      <c r="E995" s="20"/>
      <c r="F995" s="20"/>
      <c r="G995" s="20"/>
      <c r="H995" s="20"/>
      <c r="I995" s="20"/>
      <c r="J995" s="20"/>
      <c r="K995" s="20"/>
      <c r="L995" s="20"/>
      <c r="M995" s="20"/>
      <c r="N995" s="20"/>
      <c r="O995" s="20"/>
      <c r="P995" s="20"/>
    </row>
    <row r="996" ht="15.75" customHeight="1">
      <c r="A996" s="20"/>
      <c r="B996" s="20"/>
      <c r="C996" s="20"/>
      <c r="D996" s="20"/>
      <c r="E996" s="20"/>
      <c r="F996" s="20"/>
      <c r="G996" s="20"/>
      <c r="H996" s="20"/>
      <c r="I996" s="20"/>
      <c r="J996" s="20"/>
      <c r="K996" s="20"/>
      <c r="L996" s="20"/>
      <c r="M996" s="20"/>
      <c r="N996" s="20"/>
      <c r="O996" s="20"/>
      <c r="P996" s="20"/>
    </row>
    <row r="997" ht="15.75" customHeight="1">
      <c r="A997" s="20"/>
      <c r="B997" s="20"/>
      <c r="C997" s="20"/>
      <c r="D997" s="20"/>
      <c r="E997" s="20"/>
      <c r="F997" s="20"/>
      <c r="G997" s="20"/>
      <c r="H997" s="20"/>
      <c r="I997" s="20"/>
      <c r="J997" s="20"/>
      <c r="K997" s="20"/>
      <c r="L997" s="20"/>
      <c r="M997" s="20"/>
      <c r="N997" s="20"/>
      <c r="O997" s="20"/>
      <c r="P997" s="20"/>
    </row>
    <row r="998" ht="15.75" customHeight="1">
      <c r="A998" s="20"/>
      <c r="B998" s="20"/>
      <c r="C998" s="20"/>
      <c r="D998" s="20"/>
      <c r="E998" s="20"/>
      <c r="F998" s="20"/>
      <c r="G998" s="20"/>
      <c r="H998" s="20"/>
      <c r="I998" s="20"/>
      <c r="J998" s="20"/>
      <c r="K998" s="20"/>
      <c r="L998" s="20"/>
      <c r="M998" s="20"/>
      <c r="N998" s="20"/>
      <c r="O998" s="20"/>
      <c r="P998" s="20"/>
    </row>
    <row r="999" ht="15.75" customHeight="1">
      <c r="A999" s="20"/>
      <c r="B999" s="20"/>
      <c r="C999" s="20"/>
      <c r="D999" s="20"/>
      <c r="E999" s="20"/>
      <c r="F999" s="20"/>
      <c r="G999" s="20"/>
      <c r="H999" s="20"/>
      <c r="I999" s="20"/>
      <c r="J999" s="20"/>
      <c r="K999" s="20"/>
      <c r="L999" s="20"/>
      <c r="M999" s="20"/>
      <c r="N999" s="20"/>
      <c r="O999" s="20"/>
      <c r="P999" s="20"/>
    </row>
    <row r="1000" ht="15.75" customHeight="1">
      <c r="A1000" s="20"/>
      <c r="B1000" s="20"/>
      <c r="C1000" s="20"/>
      <c r="D1000" s="20"/>
      <c r="E1000" s="20"/>
      <c r="F1000" s="20"/>
      <c r="G1000" s="20"/>
      <c r="H1000" s="20"/>
      <c r="I1000" s="20"/>
      <c r="J1000" s="20"/>
      <c r="K1000" s="20"/>
      <c r="L1000" s="20"/>
      <c r="M1000" s="20"/>
      <c r="N1000" s="20"/>
      <c r="O1000" s="20"/>
      <c r="P1000" s="20"/>
    </row>
    <row r="1001" ht="15.75" customHeight="1">
      <c r="A1001" s="20"/>
      <c r="B1001" s="20"/>
      <c r="C1001" s="20"/>
      <c r="D1001" s="20"/>
      <c r="E1001" s="20"/>
      <c r="F1001" s="20"/>
      <c r="G1001" s="20"/>
      <c r="H1001" s="20"/>
      <c r="I1001" s="20"/>
      <c r="J1001" s="20"/>
      <c r="K1001" s="20"/>
      <c r="L1001" s="20"/>
      <c r="M1001" s="20"/>
      <c r="N1001" s="20"/>
      <c r="O1001" s="20"/>
      <c r="P1001" s="20"/>
    </row>
    <row r="1002" ht="15.75" customHeight="1">
      <c r="A1002" s="20"/>
      <c r="B1002" s="20"/>
      <c r="C1002" s="20"/>
      <c r="D1002" s="20"/>
      <c r="E1002" s="20"/>
      <c r="F1002" s="20"/>
      <c r="G1002" s="20"/>
      <c r="H1002" s="20"/>
      <c r="I1002" s="20"/>
      <c r="J1002" s="20"/>
      <c r="K1002" s="20"/>
      <c r="L1002" s="20"/>
      <c r="M1002" s="20"/>
      <c r="N1002" s="20"/>
      <c r="O1002" s="20"/>
      <c r="P1002" s="20"/>
    </row>
    <row r="1003" ht="15.75" customHeight="1">
      <c r="A1003" s="20"/>
      <c r="B1003" s="20"/>
      <c r="C1003" s="20"/>
      <c r="D1003" s="20"/>
      <c r="E1003" s="20"/>
      <c r="F1003" s="20"/>
      <c r="G1003" s="20"/>
      <c r="H1003" s="20"/>
      <c r="I1003" s="20"/>
      <c r="J1003" s="20"/>
      <c r="K1003" s="20"/>
      <c r="L1003" s="20"/>
      <c r="M1003" s="20"/>
      <c r="N1003" s="20"/>
      <c r="O1003" s="20"/>
      <c r="P1003" s="20"/>
    </row>
    <row r="1004" ht="15.75" customHeight="1">
      <c r="A1004" s="20"/>
      <c r="B1004" s="20"/>
      <c r="C1004" s="20"/>
      <c r="D1004" s="20"/>
      <c r="E1004" s="20"/>
      <c r="F1004" s="20"/>
      <c r="G1004" s="20"/>
      <c r="H1004" s="20"/>
      <c r="I1004" s="20"/>
      <c r="J1004" s="20"/>
      <c r="K1004" s="20"/>
      <c r="L1004" s="20"/>
      <c r="M1004" s="20"/>
      <c r="N1004" s="20"/>
      <c r="O1004" s="20"/>
      <c r="P1004" s="20"/>
    </row>
    <row r="1005" ht="15.75" customHeight="1">
      <c r="A1005" s="20"/>
      <c r="B1005" s="20"/>
      <c r="C1005" s="20"/>
      <c r="D1005" s="20"/>
      <c r="E1005" s="20"/>
      <c r="F1005" s="20"/>
      <c r="G1005" s="20"/>
      <c r="H1005" s="20"/>
      <c r="I1005" s="20"/>
      <c r="J1005" s="20"/>
      <c r="K1005" s="20"/>
      <c r="L1005" s="20"/>
      <c r="M1005" s="20"/>
      <c r="N1005" s="20"/>
      <c r="O1005" s="20"/>
      <c r="P1005" s="20"/>
    </row>
    <row r="1006" ht="15.75" customHeight="1">
      <c r="A1006" s="20"/>
      <c r="B1006" s="20"/>
      <c r="C1006" s="20"/>
      <c r="D1006" s="20"/>
      <c r="E1006" s="20"/>
      <c r="F1006" s="20"/>
      <c r="G1006" s="20"/>
      <c r="H1006" s="20"/>
      <c r="I1006" s="20"/>
      <c r="J1006" s="20"/>
      <c r="K1006" s="20"/>
      <c r="L1006" s="20"/>
      <c r="M1006" s="20"/>
      <c r="N1006" s="20"/>
      <c r="O1006" s="20"/>
      <c r="P1006" s="20"/>
    </row>
    <row r="1007" ht="15.75" customHeight="1">
      <c r="A1007" s="20"/>
      <c r="B1007" s="20"/>
      <c r="C1007" s="20"/>
      <c r="D1007" s="20"/>
      <c r="E1007" s="20"/>
      <c r="F1007" s="20"/>
      <c r="G1007" s="20"/>
      <c r="H1007" s="20"/>
      <c r="I1007" s="20"/>
      <c r="J1007" s="20"/>
      <c r="K1007" s="20"/>
      <c r="L1007" s="20"/>
      <c r="M1007" s="20"/>
      <c r="N1007" s="20"/>
      <c r="O1007" s="20"/>
      <c r="P1007" s="20"/>
    </row>
    <row r="1008" ht="15.75" customHeight="1">
      <c r="A1008" s="20"/>
      <c r="B1008" s="20"/>
      <c r="C1008" s="20"/>
      <c r="D1008" s="20"/>
      <c r="E1008" s="20"/>
      <c r="F1008" s="20"/>
      <c r="G1008" s="20"/>
      <c r="H1008" s="20"/>
      <c r="I1008" s="20"/>
      <c r="J1008" s="20"/>
      <c r="K1008" s="20"/>
      <c r="L1008" s="20"/>
      <c r="M1008" s="20"/>
      <c r="N1008" s="20"/>
      <c r="O1008" s="20"/>
      <c r="P1008" s="20"/>
    </row>
    <row r="1009" ht="15.75" customHeight="1">
      <c r="A1009" s="20"/>
      <c r="B1009" s="20"/>
      <c r="C1009" s="20"/>
      <c r="D1009" s="20"/>
      <c r="E1009" s="20"/>
      <c r="F1009" s="20"/>
      <c r="G1009" s="20"/>
      <c r="H1009" s="20"/>
      <c r="I1009" s="20"/>
      <c r="J1009" s="20"/>
      <c r="K1009" s="20"/>
      <c r="L1009" s="20"/>
      <c r="M1009" s="20"/>
      <c r="N1009" s="20"/>
      <c r="O1009" s="20"/>
      <c r="P1009" s="20"/>
    </row>
    <row r="1010" ht="15.75" customHeight="1">
      <c r="A1010" s="20"/>
      <c r="B1010" s="20"/>
      <c r="C1010" s="20"/>
      <c r="D1010" s="20"/>
      <c r="E1010" s="20"/>
      <c r="F1010" s="20"/>
      <c r="G1010" s="20"/>
      <c r="H1010" s="20"/>
      <c r="I1010" s="20"/>
      <c r="J1010" s="20"/>
      <c r="K1010" s="20"/>
      <c r="L1010" s="20"/>
      <c r="M1010" s="20"/>
      <c r="N1010" s="20"/>
      <c r="O1010" s="20"/>
      <c r="P1010" s="20"/>
    </row>
    <row r="1011" ht="15.75" customHeight="1">
      <c r="A1011" s="20"/>
      <c r="B1011" s="20"/>
      <c r="C1011" s="20"/>
      <c r="D1011" s="20"/>
      <c r="E1011" s="20"/>
      <c r="F1011" s="20"/>
      <c r="G1011" s="20"/>
      <c r="H1011" s="20"/>
      <c r="I1011" s="20"/>
      <c r="J1011" s="20"/>
      <c r="K1011" s="20"/>
      <c r="L1011" s="20"/>
      <c r="M1011" s="20"/>
      <c r="N1011" s="20"/>
      <c r="O1011" s="20"/>
      <c r="P1011" s="20"/>
    </row>
    <row r="1012" ht="15.75" customHeight="1">
      <c r="A1012" s="20"/>
      <c r="B1012" s="20"/>
      <c r="C1012" s="20"/>
      <c r="D1012" s="20"/>
      <c r="E1012" s="20"/>
      <c r="F1012" s="20"/>
      <c r="G1012" s="20"/>
      <c r="H1012" s="20"/>
      <c r="I1012" s="20"/>
      <c r="J1012" s="20"/>
      <c r="K1012" s="20"/>
      <c r="L1012" s="20"/>
      <c r="M1012" s="20"/>
      <c r="N1012" s="20"/>
      <c r="O1012" s="20"/>
      <c r="P1012" s="20"/>
    </row>
    <row r="1013" ht="15.75" customHeight="1">
      <c r="A1013" s="20"/>
      <c r="B1013" s="20"/>
      <c r="C1013" s="20"/>
      <c r="D1013" s="20"/>
      <c r="E1013" s="20"/>
      <c r="F1013" s="20"/>
      <c r="G1013" s="20"/>
      <c r="H1013" s="20"/>
      <c r="I1013" s="20"/>
      <c r="J1013" s="20"/>
      <c r="K1013" s="20"/>
      <c r="L1013" s="20"/>
      <c r="M1013" s="20"/>
      <c r="N1013" s="20"/>
      <c r="O1013" s="20"/>
      <c r="P1013" s="20"/>
    </row>
    <row r="1014" ht="15.75" customHeight="1">
      <c r="A1014" s="20"/>
      <c r="B1014" s="20"/>
      <c r="C1014" s="20"/>
      <c r="D1014" s="20"/>
      <c r="E1014" s="20"/>
      <c r="F1014" s="20"/>
      <c r="G1014" s="20"/>
      <c r="H1014" s="20"/>
      <c r="I1014" s="20"/>
      <c r="J1014" s="20"/>
      <c r="K1014" s="20"/>
      <c r="L1014" s="20"/>
      <c r="M1014" s="20"/>
      <c r="N1014" s="20"/>
      <c r="O1014" s="20"/>
      <c r="P1014" s="20"/>
    </row>
    <row r="1015" ht="15.75" customHeight="1">
      <c r="A1015" s="20"/>
      <c r="B1015" s="20"/>
      <c r="C1015" s="20"/>
      <c r="D1015" s="20"/>
      <c r="E1015" s="20"/>
      <c r="F1015" s="20"/>
      <c r="G1015" s="20"/>
      <c r="H1015" s="20"/>
      <c r="I1015" s="20"/>
      <c r="J1015" s="20"/>
      <c r="K1015" s="20"/>
      <c r="L1015" s="20"/>
      <c r="M1015" s="20"/>
      <c r="N1015" s="20"/>
      <c r="O1015" s="20"/>
      <c r="P1015" s="20"/>
    </row>
    <row r="1016" ht="15.75" customHeight="1">
      <c r="A1016" s="20"/>
      <c r="B1016" s="20"/>
      <c r="C1016" s="20"/>
      <c r="D1016" s="20"/>
      <c r="E1016" s="20"/>
      <c r="F1016" s="20"/>
      <c r="G1016" s="20"/>
      <c r="H1016" s="20"/>
      <c r="I1016" s="20"/>
      <c r="J1016" s="20"/>
      <c r="K1016" s="20"/>
      <c r="L1016" s="20"/>
      <c r="M1016" s="20"/>
      <c r="N1016" s="20"/>
      <c r="O1016" s="20"/>
      <c r="P1016" s="20"/>
    </row>
    <row r="1017" ht="15.75" customHeight="1">
      <c r="A1017" s="20"/>
      <c r="B1017" s="20"/>
      <c r="C1017" s="20"/>
      <c r="D1017" s="20"/>
      <c r="E1017" s="20"/>
      <c r="F1017" s="20"/>
      <c r="G1017" s="20"/>
      <c r="H1017" s="20"/>
      <c r="I1017" s="20"/>
      <c r="J1017" s="20"/>
      <c r="K1017" s="20"/>
      <c r="L1017" s="20"/>
      <c r="M1017" s="20"/>
      <c r="N1017" s="20"/>
      <c r="O1017" s="20"/>
      <c r="P1017" s="20"/>
    </row>
    <row r="1018" ht="15.75" customHeight="1">
      <c r="A1018" s="20"/>
      <c r="B1018" s="20"/>
      <c r="C1018" s="20"/>
      <c r="D1018" s="20"/>
      <c r="E1018" s="20"/>
      <c r="F1018" s="20"/>
      <c r="G1018" s="20"/>
      <c r="H1018" s="20"/>
      <c r="I1018" s="20"/>
      <c r="J1018" s="20"/>
      <c r="K1018" s="20"/>
      <c r="L1018" s="20"/>
      <c r="M1018" s="20"/>
      <c r="N1018" s="20"/>
      <c r="O1018" s="20"/>
      <c r="P1018" s="20"/>
    </row>
    <row r="1019" ht="15.75" customHeight="1">
      <c r="A1019" s="20"/>
      <c r="B1019" s="20"/>
      <c r="C1019" s="20"/>
      <c r="D1019" s="20"/>
      <c r="E1019" s="20"/>
      <c r="F1019" s="20"/>
      <c r="G1019" s="20"/>
      <c r="H1019" s="20"/>
      <c r="I1019" s="20"/>
      <c r="J1019" s="20"/>
      <c r="K1019" s="20"/>
      <c r="L1019" s="20"/>
      <c r="M1019" s="20"/>
      <c r="N1019" s="20"/>
      <c r="O1019" s="20"/>
      <c r="P1019" s="20"/>
    </row>
    <row r="1020" ht="15.75" customHeight="1">
      <c r="A1020" s="20"/>
      <c r="B1020" s="20"/>
      <c r="C1020" s="20"/>
      <c r="D1020" s="20"/>
      <c r="E1020" s="20"/>
      <c r="F1020" s="20"/>
      <c r="G1020" s="20"/>
      <c r="H1020" s="20"/>
      <c r="I1020" s="20"/>
      <c r="J1020" s="20"/>
      <c r="K1020" s="20"/>
      <c r="L1020" s="20"/>
      <c r="M1020" s="20"/>
      <c r="N1020" s="20"/>
      <c r="O1020" s="20"/>
      <c r="P1020" s="20"/>
    </row>
    <row r="1021" ht="15.75" customHeight="1">
      <c r="A1021" s="20"/>
      <c r="B1021" s="20"/>
      <c r="C1021" s="20"/>
      <c r="D1021" s="20"/>
      <c r="E1021" s="20"/>
      <c r="F1021" s="20"/>
      <c r="G1021" s="20"/>
      <c r="H1021" s="20"/>
      <c r="I1021" s="20"/>
      <c r="J1021" s="20"/>
      <c r="K1021" s="20"/>
      <c r="L1021" s="20"/>
      <c r="M1021" s="20"/>
      <c r="N1021" s="20"/>
      <c r="O1021" s="20"/>
      <c r="P1021" s="20"/>
    </row>
    <row r="1022" ht="15.75" customHeight="1">
      <c r="A1022" s="20"/>
      <c r="B1022" s="20"/>
      <c r="C1022" s="20"/>
      <c r="D1022" s="20"/>
      <c r="E1022" s="20"/>
      <c r="F1022" s="20"/>
      <c r="G1022" s="20"/>
      <c r="H1022" s="20"/>
      <c r="I1022" s="20"/>
      <c r="J1022" s="20"/>
      <c r="K1022" s="20"/>
      <c r="L1022" s="20"/>
      <c r="M1022" s="20"/>
      <c r="N1022" s="20"/>
      <c r="O1022" s="20"/>
      <c r="P1022" s="20"/>
    </row>
  </sheetData>
  <mergeCells count="1">
    <mergeCell ref="B30:C30"/>
  </mergeCells>
  <conditionalFormatting sqref="A4:Q6 A12:Q12 A15:Q18 A24:Q25 A28:Q30 A32:Q99">
    <cfRule type="notContainsBlanks" dxfId="5" priority="1">
      <formula>LEN(TRIM(A4))&gt;0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