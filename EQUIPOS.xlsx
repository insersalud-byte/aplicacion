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49eccd918aff0b/Documentos/json/aplicacion/InserSaludWeb/"/>
    </mc:Choice>
  </mc:AlternateContent>
  <xr:revisionPtr revIDLastSave="0" documentId="8_{D9C74E5F-F0C5-4B40-BCDB-77C5D66F8AF8}" xr6:coauthVersionLast="47" xr6:coauthVersionMax="47" xr10:uidLastSave="{00000000-0000-0000-0000-000000000000}"/>
  <bookViews>
    <workbookView xWindow="-120" yWindow="-120" windowWidth="20730" windowHeight="11160" xr2:uid="{1262DF40-80D9-47C4-816A-6E775F356BF5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G48" i="1" s="1"/>
  <c r="E47" i="1"/>
  <c r="G47" i="1" s="1"/>
  <c r="F46" i="1"/>
  <c r="E46" i="1"/>
  <c r="G46" i="1" s="1"/>
  <c r="F45" i="1"/>
  <c r="E45" i="1"/>
  <c r="G45" i="1" s="1"/>
  <c r="F44" i="1"/>
  <c r="E44" i="1"/>
  <c r="G44" i="1" s="1"/>
  <c r="F43" i="1"/>
  <c r="E43" i="1"/>
  <c r="G43" i="1" s="1"/>
  <c r="G42" i="1"/>
  <c r="F42" i="1"/>
  <c r="E42" i="1"/>
  <c r="F41" i="1"/>
  <c r="E41" i="1"/>
  <c r="G41" i="1" s="1"/>
  <c r="E40" i="1"/>
  <c r="G40" i="1" s="1"/>
  <c r="F39" i="1"/>
  <c r="E39" i="1"/>
  <c r="G39" i="1" s="1"/>
  <c r="G38" i="1"/>
  <c r="F38" i="1"/>
  <c r="G37" i="1"/>
  <c r="F37" i="1"/>
  <c r="F36" i="1"/>
  <c r="E36" i="1"/>
  <c r="G36" i="1" s="1"/>
  <c r="F35" i="1"/>
  <c r="E35" i="1"/>
  <c r="G35" i="1" s="1"/>
  <c r="F34" i="1"/>
  <c r="E34" i="1"/>
  <c r="G34" i="1" s="1"/>
  <c r="F33" i="1"/>
  <c r="E33" i="1"/>
  <c r="G33" i="1" s="1"/>
  <c r="E32" i="1"/>
  <c r="G32" i="1" s="1"/>
  <c r="E31" i="1"/>
  <c r="G31" i="1" s="1"/>
  <c r="F30" i="1"/>
  <c r="E30" i="1"/>
  <c r="G30" i="1" s="1"/>
  <c r="F29" i="1"/>
  <c r="E29" i="1"/>
  <c r="G29" i="1" s="1"/>
  <c r="F28" i="1"/>
  <c r="E28" i="1"/>
  <c r="G28" i="1" s="1"/>
  <c r="F27" i="1"/>
  <c r="E27" i="1"/>
  <c r="G27" i="1" s="1"/>
  <c r="G26" i="1"/>
  <c r="F26" i="1"/>
  <c r="E25" i="1"/>
  <c r="G25" i="1" s="1"/>
  <c r="F24" i="1"/>
  <c r="E24" i="1"/>
  <c r="G24" i="1" s="1"/>
  <c r="F23" i="1"/>
  <c r="E23" i="1"/>
  <c r="G23" i="1" s="1"/>
  <c r="F22" i="1"/>
  <c r="E22" i="1"/>
  <c r="G22" i="1" s="1"/>
  <c r="E21" i="1"/>
  <c r="G21" i="1" s="1"/>
  <c r="E20" i="1"/>
  <c r="G20" i="1" s="1"/>
  <c r="F19" i="1"/>
  <c r="E19" i="1"/>
  <c r="G19" i="1" s="1"/>
  <c r="F18" i="1"/>
  <c r="E18" i="1"/>
  <c r="G18" i="1" s="1"/>
  <c r="F17" i="1"/>
  <c r="E17" i="1"/>
  <c r="G17" i="1" s="1"/>
  <c r="F16" i="1"/>
  <c r="E16" i="1"/>
  <c r="G16" i="1" s="1"/>
  <c r="F15" i="1"/>
  <c r="E15" i="1"/>
  <c r="G15" i="1" s="1"/>
  <c r="G14" i="1"/>
  <c r="F14" i="1"/>
  <c r="E14" i="1"/>
  <c r="F13" i="1"/>
  <c r="E13" i="1"/>
  <c r="G13" i="1" s="1"/>
  <c r="F12" i="1"/>
  <c r="E12" i="1"/>
  <c r="G12" i="1" s="1"/>
  <c r="F11" i="1"/>
  <c r="E11" i="1"/>
  <c r="G11" i="1" s="1"/>
  <c r="G10" i="1"/>
  <c r="E10" i="1"/>
  <c r="E9" i="1"/>
  <c r="G9" i="1" s="1"/>
  <c r="G8" i="1"/>
  <c r="E8" i="1"/>
  <c r="F8" i="1" s="1"/>
  <c r="E7" i="1"/>
  <c r="G7" i="1" s="1"/>
  <c r="F6" i="1"/>
  <c r="E6" i="1"/>
  <c r="G6" i="1" s="1"/>
  <c r="F5" i="1"/>
  <c r="E5" i="1"/>
  <c r="G5" i="1" s="1"/>
  <c r="E4" i="1"/>
  <c r="G4" i="1" s="1"/>
  <c r="F25" i="1" l="1"/>
</calcChain>
</file>

<file path=xl/sharedStrings.xml><?xml version="1.0" encoding="utf-8"?>
<sst xmlns="http://schemas.openxmlformats.org/spreadsheetml/2006/main" count="153" uniqueCount="101">
  <si>
    <t>lista precios</t>
  </si>
  <si>
    <t>dólar</t>
  </si>
  <si>
    <t xml:space="preserve">   </t>
  </si>
  <si>
    <t>DESCRIPCIoN</t>
  </si>
  <si>
    <t>MARCA</t>
  </si>
  <si>
    <t>MODELO</t>
  </si>
  <si>
    <t>PRECIO (USD)</t>
  </si>
  <si>
    <t>venta en dolares</t>
  </si>
  <si>
    <t>costo pesos</t>
  </si>
  <si>
    <t>precio venta PESOS</t>
  </si>
  <si>
    <t>cough asisst</t>
  </si>
  <si>
    <t>AUTO CPAP CON HUMIDIFICADOR</t>
  </si>
  <si>
    <t>BMC</t>
  </si>
  <si>
    <t>G3</t>
  </si>
  <si>
    <t>BPAP CON HUMIDIFICADOR AVAPS</t>
  </si>
  <si>
    <t>G2</t>
  </si>
  <si>
    <t>1.012,00</t>
  </si>
  <si>
    <t>bpap con humidificador  Y FREC</t>
  </si>
  <si>
    <t>bmc</t>
  </si>
  <si>
    <t>g3</t>
  </si>
  <si>
    <t>CONCENTRADOR YUWELL Y BMC</t>
  </si>
  <si>
    <t>YUWELL</t>
  </si>
  <si>
    <t>AUTOCPAP CON HUMIDIFICADOR Y MODEM</t>
  </si>
  <si>
    <t>PHILIPS</t>
  </si>
  <si>
    <t>DREAMSTATION</t>
  </si>
  <si>
    <t>TERMOHUMIDIFICADOR</t>
  </si>
  <si>
    <t xml:space="preserve">AUTO CPAP CON HUMIDIFICADOR </t>
  </si>
  <si>
    <t>AUTO CPAP SIN HUMIDIFICADOR</t>
  </si>
  <si>
    <t>G2S</t>
  </si>
  <si>
    <t>YH-560</t>
  </si>
  <si>
    <t>402,50</t>
  </si>
  <si>
    <t>460,00</t>
  </si>
  <si>
    <t>CPAP CON HUMIDIFICADOR</t>
  </si>
  <si>
    <t>320,00</t>
  </si>
  <si>
    <t>YAMIND</t>
  </si>
  <si>
    <t>DM26</t>
  </si>
  <si>
    <t>YH-350</t>
  </si>
  <si>
    <t>YH-360</t>
  </si>
  <si>
    <t>CPAP PHILIPS CON MODEM</t>
  </si>
  <si>
    <t>DREASTATION</t>
  </si>
  <si>
    <t xml:space="preserve">ASPIRADOR DE SECRESIONES </t>
  </si>
  <si>
    <t>MOVIVAC</t>
  </si>
  <si>
    <t>A-550</t>
  </si>
  <si>
    <t>CPAP CON HUMIDIFICADOR RESMED MAS NUBE</t>
  </si>
  <si>
    <t>AIRSENSE</t>
  </si>
  <si>
    <t>AUTO CPAP CON HUMIDIFICADOR SIN NUBE RESMED</t>
  </si>
  <si>
    <t>690,00</t>
  </si>
  <si>
    <t>AUTO CPAP CON HUMIDIFICADOR CON NUBE RESMED</t>
  </si>
  <si>
    <t>AUTOCPAP SIN HUMIDIFICADOR + NASAL N5AH BMC</t>
  </si>
  <si>
    <t>M1</t>
  </si>
  <si>
    <t>MINI</t>
  </si>
  <si>
    <t>AUTOCPAP SIN HUMIDIFICADOR + NASAL PILLOW P2H BMC</t>
  </si>
  <si>
    <t>1070.5</t>
  </si>
  <si>
    <t>AUTOCPAP CON HUMIDIFICADOR</t>
  </si>
  <si>
    <t>678,50</t>
  </si>
  <si>
    <t>YH-830</t>
  </si>
  <si>
    <t>759,00</t>
  </si>
  <si>
    <t>BPAP CON HUMIDIFICADOR ST + MASCARA NASAL F2 TALLE M</t>
  </si>
  <si>
    <t>CONCENTRADOR DE OXIGENO PORTATIL PHILIPS</t>
  </si>
  <si>
    <t>SIMPLY</t>
  </si>
  <si>
    <t>GO</t>
  </si>
  <si>
    <t>2.990,00</t>
  </si>
  <si>
    <t>concentrador portatil cont 2L 2 baterias</t>
  </si>
  <si>
    <t>gce</t>
  </si>
  <si>
    <t>BUCONASAL S</t>
  </si>
  <si>
    <t>BUCONASAL L</t>
  </si>
  <si>
    <t>NASAL M</t>
  </si>
  <si>
    <t>27,60</t>
  </si>
  <si>
    <t>143,75</t>
  </si>
  <si>
    <t>103,50</t>
  </si>
  <si>
    <t>CUBETA</t>
  </si>
  <si>
    <t>51,75</t>
  </si>
  <si>
    <t>TUBULADURA</t>
  </si>
  <si>
    <t>RESMED</t>
  </si>
  <si>
    <t>POLIGRAFO BMC</t>
  </si>
  <si>
    <t>YH-600B</t>
  </si>
  <si>
    <t>PRO</t>
  </si>
  <si>
    <t>1.207,50</t>
  </si>
  <si>
    <t>POLIGRAFO (incluye 30 canulas) BMC</t>
  </si>
  <si>
    <t>1.380,00</t>
  </si>
  <si>
    <t>CONCENTRADOR DE OXIGENO 5LT LONFIANG</t>
  </si>
  <si>
    <t>7F5</t>
  </si>
  <si>
    <t>CONCENTRADOR OXI PORTATIL PULSADO 2 BATERIAS</t>
  </si>
  <si>
    <t>GCE</t>
  </si>
  <si>
    <t>ZEN- O LITE</t>
  </si>
  <si>
    <t>FUENTE DE ALIMENTACION</t>
  </si>
  <si>
    <t>S10</t>
  </si>
  <si>
    <t>146,05</t>
  </si>
  <si>
    <t>BANCO DE BATERIA EXTERNA</t>
  </si>
  <si>
    <t>INVERTER</t>
  </si>
  <si>
    <t>100W</t>
  </si>
  <si>
    <t>400,00</t>
  </si>
  <si>
    <t>DRAGER</t>
  </si>
  <si>
    <t>NOVASTAR</t>
  </si>
  <si>
    <t>CLASSICSTAR</t>
  </si>
  <si>
    <t>90 TUBO DE OXIGENO 0,415 (incluye cilindro 0,415 m3 + regulador + bolso reforzado + canula</t>
  </si>
  <si>
    <t>+</t>
  </si>
  <si>
    <t>recarga)</t>
  </si>
  <si>
    <t>TUBO DE OXI 3 M3 REGULA, CANULA.RECARGA</t>
  </si>
  <si>
    <t>STELLAR 150</t>
  </si>
  <si>
    <t>TUBULADURA PARA CPAP/BIPAP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</si>
</sst>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yyyy\.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5" borderId="0" xfId="0" applyFont="1" applyFill="1"/>
    <xf numFmtId="168" fontId="1" fillId="0" borderId="0" xfId="0" applyNumberFormat="1" applyFont="1"/>
    <xf numFmtId="0" fontId="1" fillId="6" borderId="0" xfId="0" applyFont="1" applyFill="1"/>
  </cellXfs>
  <cellStyles count="2">
    <cellStyle name="Normal" xfId="0" builtinId="0"/>
    <cellStyle name="Normal 2" xfId="1" xr:uid="{BC485767-E886-4840-BB0D-EE7BF9AFA59F}"/>
  </cellStyles>
  <dxfs count="1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</dxfs>
  <tableStyles count="4" defaultTableStyle="TableStyleMedium2" defaultPivotStyle="PivotStyleLight16">
    <tableStyle name="precios damian-style" pivot="0" count="4" xr9:uid="{9B39E29B-2AF8-475A-BAAD-FD4B93807892}">
      <tableStyleElement type="headerRow" dxfId="15"/>
      <tableStyleElement type="totalRow" dxfId="14"/>
      <tableStyleElement type="firstRowStripe" dxfId="13"/>
      <tableStyleElement type="secondRowStripe" dxfId="12"/>
    </tableStyle>
    <tableStyle name="precios mark-style" pivot="0" count="4" xr9:uid="{AEB13AAE-5FCE-4D73-987B-0BAE02FE9DFB}">
      <tableStyleElement type="headerRow" dxfId="11"/>
      <tableStyleElement type="totalRow" dxfId="10"/>
      <tableStyleElement type="firstRowStripe" dxfId="9"/>
      <tableStyleElement type="secondRowStripe" dxfId="8"/>
    </tableStyle>
    <tableStyle name="precios mark-style 2" pivot="0" count="3" xr9:uid="{426DF2EC-C62A-40BB-B0DD-5D8DB55A2160}">
      <tableStyleElement type="headerRow" dxfId="7"/>
      <tableStyleElement type="firstRowStripe" dxfId="6"/>
      <tableStyleElement type="secondRowStripe" dxfId="5"/>
    </tableStyle>
    <tableStyle name="stock mascaras-style" pivot="0" count="3" xr9:uid="{D11E48B4-ED96-4B6E-8AF4-77D2491E17A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E5E7-3571-4542-BD35-E35C00C2736A}">
  <dimension ref="A1:AA689"/>
  <sheetViews>
    <sheetView tabSelected="1" workbookViewId="0">
      <selection activeCell="E1" sqref="E1:E1048576"/>
    </sheetView>
  </sheetViews>
  <sheetFormatPr baseColWidth="10" defaultColWidth="14.42578125" defaultRowHeight="15" x14ac:dyDescent="0.25"/>
  <cols>
    <col min="1" max="1" width="53.7109375" customWidth="1"/>
    <col min="2" max="2" width="9.42578125" customWidth="1"/>
    <col min="3" max="3" width="9.5703125" customWidth="1"/>
    <col min="4" max="4" width="10.7109375" hidden="1" customWidth="1"/>
    <col min="5" max="5" width="21.140625" hidden="1" customWidth="1"/>
    <col min="6" max="6" width="17.140625" hidden="1" customWidth="1"/>
    <col min="7" max="7" width="17.42578125" customWidth="1"/>
    <col min="8" max="27" width="10.7109375" customWidth="1"/>
  </cols>
  <sheetData>
    <row r="1" spans="1:27" x14ac:dyDescent="0.25">
      <c r="E1" s="1"/>
      <c r="F1" s="2" t="s">
        <v>0</v>
      </c>
      <c r="H1" s="2" t="s">
        <v>1</v>
      </c>
      <c r="I1" s="2">
        <v>1410</v>
      </c>
    </row>
    <row r="2" spans="1:27" x14ac:dyDescent="0.25">
      <c r="E2" s="1"/>
      <c r="J2" s="2" t="s">
        <v>2</v>
      </c>
    </row>
    <row r="3" spans="1:27" x14ac:dyDescent="0.25">
      <c r="A3" s="3" t="s">
        <v>3</v>
      </c>
      <c r="B3" s="3" t="s">
        <v>4</v>
      </c>
      <c r="C3" s="3" t="s">
        <v>5</v>
      </c>
      <c r="D3" s="3" t="s">
        <v>6</v>
      </c>
      <c r="E3" s="1" t="s">
        <v>7</v>
      </c>
      <c r="F3" s="3" t="s">
        <v>8</v>
      </c>
      <c r="G3" s="3" t="s">
        <v>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10</v>
      </c>
      <c r="B4" s="4"/>
      <c r="C4" s="4"/>
      <c r="D4" s="4">
        <v>6980</v>
      </c>
      <c r="E4" s="5">
        <f t="shared" ref="E4:E25" si="0">D4*1.3+10</f>
        <v>9084</v>
      </c>
      <c r="F4" s="4"/>
      <c r="G4" s="4">
        <f>E4*I1</f>
        <v>12808440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4" t="s">
        <v>11</v>
      </c>
      <c r="B5" s="4" t="s">
        <v>12</v>
      </c>
      <c r="C5" s="4" t="s">
        <v>13</v>
      </c>
      <c r="D5" s="4">
        <v>518</v>
      </c>
      <c r="E5" s="5">
        <f t="shared" si="0"/>
        <v>683.4</v>
      </c>
      <c r="F5" s="4">
        <f>D5*I1</f>
        <v>730380</v>
      </c>
      <c r="G5" s="4">
        <f>E5*I1</f>
        <v>963594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3" t="s">
        <v>14</v>
      </c>
      <c r="B6" s="3" t="s">
        <v>12</v>
      </c>
      <c r="C6" s="3" t="s">
        <v>15</v>
      </c>
      <c r="D6" s="3" t="s">
        <v>16</v>
      </c>
      <c r="E6" s="5">
        <f t="shared" si="0"/>
        <v>1325.6000000000001</v>
      </c>
      <c r="F6" s="3">
        <f>D6*I1</f>
        <v>1426920</v>
      </c>
      <c r="G6" s="3">
        <f>E6*I1</f>
        <v>1869096.0000000002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3" t="s">
        <v>17</v>
      </c>
      <c r="B7" s="3" t="s">
        <v>18</v>
      </c>
      <c r="C7" s="3" t="s">
        <v>19</v>
      </c>
      <c r="D7" s="3">
        <v>690</v>
      </c>
      <c r="E7" s="5">
        <f t="shared" si="0"/>
        <v>907</v>
      </c>
      <c r="F7" s="3"/>
      <c r="G7" s="3">
        <f>E7*I1</f>
        <v>1278870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 t="s">
        <v>20</v>
      </c>
      <c r="B8" s="3" t="s">
        <v>21</v>
      </c>
      <c r="C8" s="3"/>
      <c r="D8" s="3">
        <v>541</v>
      </c>
      <c r="E8" s="5">
        <f t="shared" si="0"/>
        <v>713.30000000000007</v>
      </c>
      <c r="F8" s="5">
        <f>E8*1.3+10</f>
        <v>937.29000000000008</v>
      </c>
      <c r="G8" s="5">
        <f>E8*I1</f>
        <v>1005753.0000000001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2" t="s">
        <v>22</v>
      </c>
      <c r="B9" s="2" t="s">
        <v>23</v>
      </c>
      <c r="C9" s="2" t="s">
        <v>24</v>
      </c>
      <c r="D9" s="2">
        <v>575</v>
      </c>
      <c r="E9" s="5">
        <f t="shared" si="0"/>
        <v>757.5</v>
      </c>
      <c r="G9" s="2">
        <f>E9*I1</f>
        <v>1068075</v>
      </c>
    </row>
    <row r="10" spans="1:27" x14ac:dyDescent="0.25">
      <c r="A10" s="2" t="s">
        <v>25</v>
      </c>
      <c r="B10" s="2" t="s">
        <v>23</v>
      </c>
      <c r="C10" s="2" t="s">
        <v>24</v>
      </c>
      <c r="D10" s="2">
        <v>144</v>
      </c>
      <c r="E10" s="5">
        <f t="shared" si="0"/>
        <v>197.20000000000002</v>
      </c>
      <c r="G10" s="2">
        <f>E10*I1</f>
        <v>278052</v>
      </c>
    </row>
    <row r="11" spans="1:27" x14ac:dyDescent="0.25">
      <c r="A11" s="2" t="s">
        <v>26</v>
      </c>
      <c r="B11" s="2" t="s">
        <v>12</v>
      </c>
      <c r="C11" s="2" t="s">
        <v>15</v>
      </c>
      <c r="D11" s="2">
        <v>334</v>
      </c>
      <c r="E11" s="5">
        <f t="shared" si="0"/>
        <v>444.2</v>
      </c>
      <c r="F11" s="2">
        <f>D11*I1</f>
        <v>470940</v>
      </c>
      <c r="G11" s="2">
        <f>E11*I1</f>
        <v>626322</v>
      </c>
    </row>
    <row r="12" spans="1:27" x14ac:dyDescent="0.25">
      <c r="A12" s="2" t="s">
        <v>27</v>
      </c>
      <c r="B12" s="2" t="s">
        <v>12</v>
      </c>
      <c r="C12" s="2" t="s">
        <v>15</v>
      </c>
      <c r="D12" s="2">
        <v>230</v>
      </c>
      <c r="E12" s="5">
        <f t="shared" si="0"/>
        <v>309</v>
      </c>
      <c r="F12" s="2">
        <f>D12*I1</f>
        <v>324300</v>
      </c>
      <c r="G12" s="2">
        <f>E12*I1</f>
        <v>435690</v>
      </c>
    </row>
    <row r="13" spans="1:27" x14ac:dyDescent="0.25">
      <c r="A13" s="6" t="s">
        <v>11</v>
      </c>
      <c r="B13" s="7" t="s">
        <v>12</v>
      </c>
      <c r="C13" s="7" t="s">
        <v>28</v>
      </c>
      <c r="D13" s="7">
        <v>311</v>
      </c>
      <c r="E13" s="8">
        <f t="shared" si="0"/>
        <v>414.3</v>
      </c>
      <c r="F13" s="7">
        <f t="shared" ref="F13:F19" si="1">D13*$I$1</f>
        <v>438510</v>
      </c>
      <c r="G13" s="7">
        <f>E13*I1</f>
        <v>584163</v>
      </c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5">
      <c r="A14" s="2" t="s">
        <v>27</v>
      </c>
      <c r="B14" s="2" t="s">
        <v>21</v>
      </c>
      <c r="C14" s="2" t="s">
        <v>29</v>
      </c>
      <c r="D14" s="2" t="s">
        <v>30</v>
      </c>
      <c r="E14" s="5">
        <f t="shared" si="0"/>
        <v>533.25</v>
      </c>
      <c r="F14" s="2">
        <f t="shared" si="1"/>
        <v>567525</v>
      </c>
      <c r="G14" s="2">
        <f>E14*I1</f>
        <v>751882.5</v>
      </c>
    </row>
    <row r="15" spans="1:27" x14ac:dyDescent="0.25">
      <c r="A15" s="2" t="s">
        <v>11</v>
      </c>
      <c r="B15" s="2" t="s">
        <v>21</v>
      </c>
      <c r="C15" s="2" t="s">
        <v>29</v>
      </c>
      <c r="D15" s="2" t="s">
        <v>31</v>
      </c>
      <c r="E15" s="5">
        <f t="shared" si="0"/>
        <v>608</v>
      </c>
      <c r="F15" s="2">
        <f t="shared" si="1"/>
        <v>648600</v>
      </c>
      <c r="G15" s="2">
        <f>E15*I1</f>
        <v>857280</v>
      </c>
      <c r="H15" s="2">
        <v>1</v>
      </c>
      <c r="I15" s="2"/>
    </row>
    <row r="16" spans="1:27" x14ac:dyDescent="0.25">
      <c r="A16" s="2" t="s">
        <v>32</v>
      </c>
      <c r="B16" s="2" t="s">
        <v>12</v>
      </c>
      <c r="C16" s="2" t="s">
        <v>28</v>
      </c>
      <c r="D16" s="2" t="s">
        <v>33</v>
      </c>
      <c r="E16" s="5">
        <f t="shared" si="0"/>
        <v>426</v>
      </c>
      <c r="F16" s="2">
        <f t="shared" si="1"/>
        <v>451200</v>
      </c>
      <c r="G16" s="2">
        <f>E16*I1</f>
        <v>600660</v>
      </c>
      <c r="H16" s="2">
        <v>1</v>
      </c>
    </row>
    <row r="17" spans="1:8" x14ac:dyDescent="0.25">
      <c r="A17" s="2" t="s">
        <v>32</v>
      </c>
      <c r="B17" s="2" t="s">
        <v>34</v>
      </c>
      <c r="C17" s="2" t="s">
        <v>35</v>
      </c>
      <c r="D17" s="2" t="s">
        <v>33</v>
      </c>
      <c r="E17" s="5">
        <f t="shared" si="0"/>
        <v>426</v>
      </c>
      <c r="F17" s="2">
        <f t="shared" si="1"/>
        <v>451200</v>
      </c>
      <c r="G17" s="2">
        <f>E17*I1</f>
        <v>600660</v>
      </c>
    </row>
    <row r="18" spans="1:8" x14ac:dyDescent="0.25">
      <c r="A18" s="2" t="s">
        <v>32</v>
      </c>
      <c r="B18" s="2" t="s">
        <v>21</v>
      </c>
      <c r="C18" s="2" t="s">
        <v>36</v>
      </c>
      <c r="D18" s="2">
        <v>250</v>
      </c>
      <c r="E18" s="5">
        <f t="shared" si="0"/>
        <v>335</v>
      </c>
      <c r="F18" s="2">
        <f t="shared" si="1"/>
        <v>352500</v>
      </c>
      <c r="G18" s="2">
        <f>E18*I1</f>
        <v>472350</v>
      </c>
    </row>
    <row r="19" spans="1:8" x14ac:dyDescent="0.25">
      <c r="A19" s="2" t="s">
        <v>32</v>
      </c>
      <c r="B19" s="2" t="s">
        <v>21</v>
      </c>
      <c r="C19" s="2" t="s">
        <v>37</v>
      </c>
      <c r="D19" s="2">
        <v>305</v>
      </c>
      <c r="E19" s="5">
        <f t="shared" si="0"/>
        <v>406.5</v>
      </c>
      <c r="F19" s="2">
        <f t="shared" si="1"/>
        <v>430050</v>
      </c>
      <c r="G19" s="2">
        <f>E19*I1</f>
        <v>573165</v>
      </c>
      <c r="H19" s="2">
        <v>1</v>
      </c>
    </row>
    <row r="20" spans="1:8" x14ac:dyDescent="0.25">
      <c r="A20" s="2" t="s">
        <v>38</v>
      </c>
      <c r="B20" s="2" t="s">
        <v>39</v>
      </c>
      <c r="C20" s="2"/>
      <c r="D20" s="2">
        <v>437</v>
      </c>
      <c r="E20" s="5">
        <f t="shared" si="0"/>
        <v>578.1</v>
      </c>
      <c r="G20" s="2">
        <f>E20*I1</f>
        <v>815121</v>
      </c>
    </row>
    <row r="21" spans="1:8" x14ac:dyDescent="0.25">
      <c r="A21" s="2" t="s">
        <v>40</v>
      </c>
      <c r="B21" s="2" t="s">
        <v>41</v>
      </c>
      <c r="C21" s="2" t="s">
        <v>42</v>
      </c>
      <c r="D21" s="2">
        <v>549</v>
      </c>
      <c r="E21" s="5">
        <f t="shared" si="0"/>
        <v>723.7</v>
      </c>
      <c r="G21" s="2">
        <f>E21*I1</f>
        <v>1020417.0000000001</v>
      </c>
    </row>
    <row r="22" spans="1:8" x14ac:dyDescent="0.25">
      <c r="A22" s="2" t="s">
        <v>43</v>
      </c>
      <c r="B22" s="2" t="s">
        <v>44</v>
      </c>
      <c r="C22" s="2">
        <v>10</v>
      </c>
      <c r="D22" s="2">
        <v>466</v>
      </c>
      <c r="E22" s="5">
        <f t="shared" si="0"/>
        <v>615.80000000000007</v>
      </c>
      <c r="F22" s="2">
        <f t="shared" ref="F22:F24" si="2">D22*$I$1</f>
        <v>657060</v>
      </c>
      <c r="G22" s="2">
        <f>E22*I1</f>
        <v>868278.00000000012</v>
      </c>
    </row>
    <row r="23" spans="1:8" x14ac:dyDescent="0.25">
      <c r="A23" s="2" t="s">
        <v>45</v>
      </c>
      <c r="B23" s="2" t="s">
        <v>44</v>
      </c>
      <c r="C23" s="2">
        <v>10</v>
      </c>
      <c r="D23" s="2" t="s">
        <v>46</v>
      </c>
      <c r="E23" s="5">
        <f t="shared" si="0"/>
        <v>907</v>
      </c>
      <c r="F23" s="2">
        <f t="shared" si="2"/>
        <v>972900</v>
      </c>
      <c r="G23" s="2">
        <f>E23*I1</f>
        <v>1278870</v>
      </c>
    </row>
    <row r="24" spans="1:8" x14ac:dyDescent="0.25">
      <c r="A24" s="2" t="s">
        <v>47</v>
      </c>
      <c r="B24" s="2" t="s">
        <v>44</v>
      </c>
      <c r="C24" s="2">
        <v>10</v>
      </c>
      <c r="D24" s="2">
        <v>633</v>
      </c>
      <c r="E24" s="5">
        <f t="shared" si="0"/>
        <v>832.9</v>
      </c>
      <c r="F24" s="2">
        <f t="shared" si="2"/>
        <v>892530</v>
      </c>
      <c r="G24" s="2">
        <f>E24*I1</f>
        <v>1174389</v>
      </c>
    </row>
    <row r="25" spans="1:8" x14ac:dyDescent="0.25">
      <c r="A25" s="2" t="s">
        <v>48</v>
      </c>
      <c r="B25" s="2" t="s">
        <v>49</v>
      </c>
      <c r="C25" s="2" t="s">
        <v>50</v>
      </c>
      <c r="D25" s="2">
        <v>1070.5</v>
      </c>
      <c r="E25" s="5">
        <f t="shared" si="0"/>
        <v>1401.65</v>
      </c>
      <c r="F25" s="5">
        <f>E25*1.3+10</f>
        <v>1832.1450000000002</v>
      </c>
      <c r="G25" s="5">
        <f>E25*I1</f>
        <v>1976326.5000000002</v>
      </c>
    </row>
    <row r="26" spans="1:8" x14ac:dyDescent="0.25">
      <c r="A26" s="2" t="s">
        <v>51</v>
      </c>
      <c r="B26" s="2" t="s">
        <v>49</v>
      </c>
      <c r="C26" s="2" t="s">
        <v>50</v>
      </c>
      <c r="D26" s="9" t="s">
        <v>52</v>
      </c>
      <c r="E26" s="5">
        <v>1401</v>
      </c>
      <c r="F26" s="9" t="e">
        <f t="shared" ref="F26:F30" si="3">D26*$I$1</f>
        <v>#VALUE!</v>
      </c>
      <c r="G26" s="2">
        <f>E26*I1</f>
        <v>1975410</v>
      </c>
    </row>
    <row r="27" spans="1:8" x14ac:dyDescent="0.25">
      <c r="A27" s="2" t="s">
        <v>53</v>
      </c>
      <c r="B27" s="2" t="s">
        <v>23</v>
      </c>
      <c r="C27" s="2" t="s">
        <v>24</v>
      </c>
      <c r="D27" s="2" t="s">
        <v>54</v>
      </c>
      <c r="E27" s="5">
        <f t="shared" ref="E27:E36" si="4">D27*1.3+10</f>
        <v>892.05000000000007</v>
      </c>
      <c r="F27" s="2">
        <f t="shared" si="3"/>
        <v>956685</v>
      </c>
      <c r="G27" s="2">
        <f>E27*I1</f>
        <v>1257790.5</v>
      </c>
    </row>
    <row r="28" spans="1:8" ht="15.75" customHeight="1" x14ac:dyDescent="0.25">
      <c r="A28" s="2" t="s">
        <v>14</v>
      </c>
      <c r="B28" s="2" t="s">
        <v>21</v>
      </c>
      <c r="C28" s="2" t="s">
        <v>55</v>
      </c>
      <c r="D28" s="2" t="s">
        <v>56</v>
      </c>
      <c r="E28" s="5">
        <f t="shared" si="4"/>
        <v>996.7</v>
      </c>
      <c r="F28" s="2">
        <f t="shared" si="3"/>
        <v>1070190</v>
      </c>
      <c r="G28" s="2">
        <f>E28*I1</f>
        <v>1405347</v>
      </c>
    </row>
    <row r="29" spans="1:8" ht="15.75" customHeight="1" x14ac:dyDescent="0.25">
      <c r="A29" s="2" t="s">
        <v>57</v>
      </c>
      <c r="B29" s="2" t="s">
        <v>12</v>
      </c>
      <c r="C29" s="2" t="s">
        <v>13</v>
      </c>
      <c r="D29" s="2">
        <v>690</v>
      </c>
      <c r="E29" s="5">
        <f t="shared" si="4"/>
        <v>907</v>
      </c>
      <c r="F29" s="2">
        <f t="shared" si="3"/>
        <v>972900</v>
      </c>
      <c r="G29" s="2">
        <f>E29*I1</f>
        <v>1278870</v>
      </c>
    </row>
    <row r="30" spans="1:8" ht="15.75" customHeight="1" x14ac:dyDescent="0.25">
      <c r="A30" s="2" t="s">
        <v>58</v>
      </c>
      <c r="B30" s="2" t="s">
        <v>59</v>
      </c>
      <c r="C30" s="2" t="s">
        <v>60</v>
      </c>
      <c r="D30" s="2" t="s">
        <v>61</v>
      </c>
      <c r="E30" s="5">
        <f t="shared" si="4"/>
        <v>3897</v>
      </c>
      <c r="F30" s="2">
        <f t="shared" si="3"/>
        <v>4215900</v>
      </c>
      <c r="G30" s="2">
        <f>E30*I1</f>
        <v>5494770</v>
      </c>
      <c r="H30" s="2">
        <v>1</v>
      </c>
    </row>
    <row r="31" spans="1:8" ht="15.75" customHeight="1" x14ac:dyDescent="0.25">
      <c r="A31" s="10" t="s">
        <v>62</v>
      </c>
      <c r="B31" s="2" t="s">
        <v>63</v>
      </c>
      <c r="D31" s="2">
        <v>2300</v>
      </c>
      <c r="E31" s="5">
        <f t="shared" si="4"/>
        <v>3000</v>
      </c>
      <c r="G31" s="2">
        <f>E31*I1</f>
        <v>4230000</v>
      </c>
    </row>
    <row r="32" spans="1:8" ht="15.75" customHeight="1" x14ac:dyDescent="0.25">
      <c r="A32" s="10" t="s">
        <v>62</v>
      </c>
      <c r="B32" s="2" t="s">
        <v>63</v>
      </c>
      <c r="D32" s="2">
        <v>2875</v>
      </c>
      <c r="E32" s="5">
        <f t="shared" si="4"/>
        <v>3747.5</v>
      </c>
      <c r="G32" s="2">
        <f>E32*I1</f>
        <v>5283975</v>
      </c>
    </row>
    <row r="33" spans="1:7" ht="15.75" customHeight="1" x14ac:dyDescent="0.25">
      <c r="A33" s="2" t="s">
        <v>25</v>
      </c>
      <c r="B33" s="2" t="s">
        <v>23</v>
      </c>
      <c r="C33" s="2" t="s">
        <v>24</v>
      </c>
      <c r="D33" s="2" t="s">
        <v>68</v>
      </c>
      <c r="E33" s="5">
        <f t="shared" si="4"/>
        <v>196.875</v>
      </c>
      <c r="F33" s="2">
        <f t="shared" ref="F33:F36" si="5">D33*$I$1</f>
        <v>202687.5</v>
      </c>
      <c r="G33" s="2">
        <f>E33*I1</f>
        <v>277593.75</v>
      </c>
    </row>
    <row r="34" spans="1:7" ht="15.75" customHeight="1" x14ac:dyDescent="0.25">
      <c r="A34" s="2" t="s">
        <v>25</v>
      </c>
      <c r="B34" s="2" t="s">
        <v>12</v>
      </c>
      <c r="C34" s="2" t="s">
        <v>15</v>
      </c>
      <c r="D34" s="2" t="s">
        <v>69</v>
      </c>
      <c r="E34" s="5">
        <f t="shared" si="4"/>
        <v>144.55000000000001</v>
      </c>
      <c r="F34" s="2">
        <f t="shared" si="5"/>
        <v>145935</v>
      </c>
      <c r="G34" s="2">
        <f>E34*I1</f>
        <v>203815.50000000003</v>
      </c>
    </row>
    <row r="35" spans="1:7" ht="15.75" customHeight="1" x14ac:dyDescent="0.25">
      <c r="A35" s="2" t="s">
        <v>70</v>
      </c>
      <c r="B35" s="2" t="s">
        <v>12</v>
      </c>
      <c r="C35" s="2" t="s">
        <v>15</v>
      </c>
      <c r="D35" s="2" t="s">
        <v>71</v>
      </c>
      <c r="E35" s="5">
        <f t="shared" si="4"/>
        <v>77.275000000000006</v>
      </c>
      <c r="F35" s="2">
        <f t="shared" si="5"/>
        <v>72967.5</v>
      </c>
      <c r="G35" s="2">
        <f>E35*I1</f>
        <v>108957.75000000001</v>
      </c>
    </row>
    <row r="36" spans="1:7" ht="15.75" customHeight="1" x14ac:dyDescent="0.25">
      <c r="A36" s="2" t="s">
        <v>100</v>
      </c>
      <c r="B36" s="2" t="s">
        <v>72</v>
      </c>
      <c r="C36" s="2" t="s">
        <v>73</v>
      </c>
      <c r="D36" s="2">
        <v>13.8</v>
      </c>
      <c r="E36" s="5">
        <f t="shared" si="4"/>
        <v>27.94</v>
      </c>
      <c r="F36" s="2">
        <f t="shared" si="5"/>
        <v>19458</v>
      </c>
      <c r="G36" s="2">
        <f>E36*I1</f>
        <v>39395.4</v>
      </c>
    </row>
    <row r="37" spans="1:7" ht="15.75" customHeight="1" x14ac:dyDescent="0.25">
      <c r="A37" s="2" t="s">
        <v>74</v>
      </c>
      <c r="B37" s="2" t="s">
        <v>75</v>
      </c>
      <c r="C37" s="2" t="s">
        <v>76</v>
      </c>
      <c r="D37" s="2" t="s">
        <v>77</v>
      </c>
      <c r="E37" s="5">
        <v>1150</v>
      </c>
      <c r="F37" s="2">
        <f t="shared" ref="F37:F39" si="6">D37*$I$1</f>
        <v>1702575</v>
      </c>
      <c r="G37" s="2">
        <f>E37*I1</f>
        <v>1621500</v>
      </c>
    </row>
    <row r="38" spans="1:7" ht="15.75" customHeight="1" x14ac:dyDescent="0.25">
      <c r="A38" s="2" t="s">
        <v>78</v>
      </c>
      <c r="B38" s="2" t="s">
        <v>75</v>
      </c>
      <c r="C38" s="2" t="s">
        <v>76</v>
      </c>
      <c r="D38" s="2" t="s">
        <v>79</v>
      </c>
      <c r="E38" s="5">
        <v>1380</v>
      </c>
      <c r="F38" s="2">
        <f t="shared" si="6"/>
        <v>1945800</v>
      </c>
      <c r="G38" s="2">
        <f>E38*I1</f>
        <v>1945800</v>
      </c>
    </row>
    <row r="39" spans="1:7" ht="15.75" customHeight="1" x14ac:dyDescent="0.25">
      <c r="A39" s="2" t="s">
        <v>80</v>
      </c>
      <c r="B39" s="2" t="s">
        <v>21</v>
      </c>
      <c r="C39" s="2" t="s">
        <v>81</v>
      </c>
      <c r="D39" s="2">
        <v>540</v>
      </c>
      <c r="E39" s="5">
        <f t="shared" ref="E39:E48" si="7">D39*1.3+10</f>
        <v>712</v>
      </c>
      <c r="F39" s="2">
        <f t="shared" si="6"/>
        <v>761400</v>
      </c>
      <c r="G39" s="2">
        <f>E39*I1</f>
        <v>1003920</v>
      </c>
    </row>
    <row r="40" spans="1:7" ht="15.75" customHeight="1" x14ac:dyDescent="0.25">
      <c r="A40" s="2" t="s">
        <v>82</v>
      </c>
      <c r="B40" s="2" t="s">
        <v>83</v>
      </c>
      <c r="C40" s="2" t="s">
        <v>84</v>
      </c>
      <c r="D40" s="2">
        <v>2300000</v>
      </c>
      <c r="E40" s="5">
        <f t="shared" si="7"/>
        <v>2990010</v>
      </c>
      <c r="G40" s="2">
        <f>E40*I1</f>
        <v>4215914100</v>
      </c>
    </row>
    <row r="41" spans="1:7" ht="15.75" customHeight="1" x14ac:dyDescent="0.25">
      <c r="A41" s="2" t="s">
        <v>85</v>
      </c>
      <c r="B41" s="2" t="s">
        <v>73</v>
      </c>
      <c r="C41" s="2" t="s">
        <v>86</v>
      </c>
      <c r="D41" s="2" t="s">
        <v>87</v>
      </c>
      <c r="E41" s="5">
        <f t="shared" si="7"/>
        <v>199.86500000000001</v>
      </c>
      <c r="F41" s="2">
        <f t="shared" ref="F41:F46" si="8">D41*$I$1</f>
        <v>205930.50000000003</v>
      </c>
      <c r="G41" s="2">
        <f>E41*I1</f>
        <v>281809.65000000002</v>
      </c>
    </row>
    <row r="42" spans="1:7" ht="15.75" customHeight="1" x14ac:dyDescent="0.25">
      <c r="A42" s="2" t="s">
        <v>88</v>
      </c>
      <c r="B42" s="2" t="s">
        <v>89</v>
      </c>
      <c r="C42" s="2" t="s">
        <v>90</v>
      </c>
      <c r="D42" s="2" t="s">
        <v>91</v>
      </c>
      <c r="E42" s="5">
        <f t="shared" si="7"/>
        <v>530</v>
      </c>
      <c r="F42" s="2">
        <f t="shared" si="8"/>
        <v>564000</v>
      </c>
      <c r="G42" s="2">
        <f>E42*I1</f>
        <v>747300</v>
      </c>
    </row>
    <row r="43" spans="1:7" ht="15.75" customHeight="1" x14ac:dyDescent="0.25">
      <c r="A43" s="2" t="s">
        <v>64</v>
      </c>
      <c r="B43" s="2" t="s">
        <v>92</v>
      </c>
      <c r="C43" s="2" t="s">
        <v>93</v>
      </c>
      <c r="D43" s="2" t="s">
        <v>67</v>
      </c>
      <c r="E43" s="5">
        <f t="shared" si="7"/>
        <v>45.88</v>
      </c>
      <c r="F43" s="2">
        <f t="shared" si="8"/>
        <v>38916</v>
      </c>
      <c r="G43" s="2">
        <f>E43*I1</f>
        <v>64690.8</v>
      </c>
    </row>
    <row r="44" spans="1:7" ht="15.75" customHeight="1" x14ac:dyDescent="0.25">
      <c r="A44" s="2" t="s">
        <v>65</v>
      </c>
      <c r="B44" s="2" t="s">
        <v>92</v>
      </c>
      <c r="C44" s="2" t="s">
        <v>93</v>
      </c>
      <c r="D44" s="2" t="s">
        <v>67</v>
      </c>
      <c r="E44" s="5">
        <f t="shared" si="7"/>
        <v>45.88</v>
      </c>
      <c r="F44" s="2">
        <f t="shared" si="8"/>
        <v>38916</v>
      </c>
      <c r="G44" s="2">
        <f>E44*I1</f>
        <v>64690.8</v>
      </c>
    </row>
    <row r="45" spans="1:7" ht="15.75" customHeight="1" x14ac:dyDescent="0.25">
      <c r="A45" s="2" t="s">
        <v>66</v>
      </c>
      <c r="B45" s="2" t="s">
        <v>92</v>
      </c>
      <c r="C45" s="2" t="s">
        <v>94</v>
      </c>
      <c r="D45" s="2" t="s">
        <v>67</v>
      </c>
      <c r="E45" s="5">
        <f t="shared" si="7"/>
        <v>45.88</v>
      </c>
      <c r="F45" s="2">
        <f t="shared" si="8"/>
        <v>38916</v>
      </c>
      <c r="G45" s="2">
        <f>E45*I1</f>
        <v>64690.8</v>
      </c>
    </row>
    <row r="46" spans="1:7" ht="15.75" customHeight="1" x14ac:dyDescent="0.25">
      <c r="A46" s="2" t="s">
        <v>95</v>
      </c>
      <c r="B46" s="2" t="s">
        <v>96</v>
      </c>
      <c r="C46" s="2" t="s">
        <v>97</v>
      </c>
      <c r="D46" s="2">
        <v>200.1</v>
      </c>
      <c r="E46" s="5">
        <f t="shared" si="7"/>
        <v>270.13</v>
      </c>
      <c r="F46" s="2">
        <f t="shared" si="8"/>
        <v>282141</v>
      </c>
      <c r="G46" s="2">
        <f>E46*I1</f>
        <v>380883.3</v>
      </c>
    </row>
    <row r="47" spans="1:7" ht="15.75" customHeight="1" x14ac:dyDescent="0.25">
      <c r="A47" s="2" t="s">
        <v>98</v>
      </c>
      <c r="D47" s="2">
        <v>287</v>
      </c>
      <c r="E47" s="5">
        <f t="shared" si="7"/>
        <v>383.1</v>
      </c>
      <c r="G47" s="2">
        <f>E47*I1</f>
        <v>540171</v>
      </c>
    </row>
    <row r="48" spans="1:7" ht="15.75" customHeight="1" x14ac:dyDescent="0.25">
      <c r="A48" s="2" t="s">
        <v>99</v>
      </c>
      <c r="B48" s="2" t="s">
        <v>73</v>
      </c>
      <c r="D48" s="2">
        <v>5640</v>
      </c>
      <c r="E48" s="5">
        <f t="shared" si="7"/>
        <v>7342</v>
      </c>
      <c r="G48" s="2">
        <f>E48*I1</f>
        <v>10352220</v>
      </c>
    </row>
    <row r="49" spans="5:5" ht="15.75" customHeight="1" x14ac:dyDescent="0.25">
      <c r="E49" s="1"/>
    </row>
    <row r="50" spans="5:5" ht="15.75" customHeight="1" x14ac:dyDescent="0.25">
      <c r="E50" s="1"/>
    </row>
    <row r="51" spans="5:5" ht="15.75" customHeight="1" x14ac:dyDescent="0.25">
      <c r="E51" s="1"/>
    </row>
    <row r="52" spans="5:5" ht="15.75" customHeight="1" x14ac:dyDescent="0.25">
      <c r="E52" s="1"/>
    </row>
    <row r="53" spans="5:5" ht="15.75" customHeight="1" x14ac:dyDescent="0.25">
      <c r="E53" s="1"/>
    </row>
    <row r="54" spans="5:5" ht="15.75" customHeight="1" x14ac:dyDescent="0.25">
      <c r="E54" s="1"/>
    </row>
    <row r="55" spans="5:5" ht="15.75" customHeight="1" x14ac:dyDescent="0.25">
      <c r="E55" s="1"/>
    </row>
    <row r="56" spans="5:5" ht="15.75" customHeight="1" x14ac:dyDescent="0.25">
      <c r="E56" s="1"/>
    </row>
    <row r="57" spans="5:5" ht="15.75" customHeight="1" x14ac:dyDescent="0.25">
      <c r="E57" s="1"/>
    </row>
    <row r="58" spans="5:5" ht="15.75" customHeight="1" x14ac:dyDescent="0.25">
      <c r="E58" s="1"/>
    </row>
    <row r="59" spans="5:5" ht="15.75" customHeight="1" x14ac:dyDescent="0.25">
      <c r="E59" s="1"/>
    </row>
    <row r="60" spans="5:5" ht="15.75" customHeight="1" x14ac:dyDescent="0.25">
      <c r="E60" s="1"/>
    </row>
    <row r="61" spans="5:5" ht="15.75" customHeight="1" x14ac:dyDescent="0.25">
      <c r="E61" s="1"/>
    </row>
    <row r="62" spans="5:5" ht="15.75" customHeight="1" x14ac:dyDescent="0.25">
      <c r="E62" s="1"/>
    </row>
    <row r="63" spans="5:5" ht="15.75" customHeight="1" x14ac:dyDescent="0.25">
      <c r="E63" s="1"/>
    </row>
    <row r="64" spans="5:5" ht="15.75" customHeight="1" x14ac:dyDescent="0.25">
      <c r="E64" s="1"/>
    </row>
    <row r="65" spans="5:5" ht="15.75" customHeight="1" x14ac:dyDescent="0.25">
      <c r="E65" s="1"/>
    </row>
    <row r="66" spans="5:5" ht="15.75" customHeight="1" x14ac:dyDescent="0.25">
      <c r="E66" s="1"/>
    </row>
    <row r="67" spans="5:5" ht="15.75" customHeight="1" x14ac:dyDescent="0.25">
      <c r="E67" s="1"/>
    </row>
    <row r="68" spans="5:5" ht="15.75" customHeight="1" x14ac:dyDescent="0.25">
      <c r="E68" s="1"/>
    </row>
    <row r="69" spans="5:5" ht="15.75" customHeight="1" x14ac:dyDescent="0.25">
      <c r="E69" s="1"/>
    </row>
    <row r="70" spans="5:5" ht="15.75" customHeight="1" x14ac:dyDescent="0.25">
      <c r="E70" s="1"/>
    </row>
    <row r="71" spans="5:5" ht="15.75" customHeight="1" x14ac:dyDescent="0.25">
      <c r="E71" s="1"/>
    </row>
    <row r="72" spans="5:5" ht="15.75" customHeight="1" x14ac:dyDescent="0.25">
      <c r="E72" s="1"/>
    </row>
    <row r="73" spans="5:5" ht="15.75" customHeight="1" x14ac:dyDescent="0.25">
      <c r="E73" s="1"/>
    </row>
    <row r="74" spans="5:5" ht="15.75" customHeight="1" x14ac:dyDescent="0.25">
      <c r="E74" s="1"/>
    </row>
    <row r="75" spans="5:5" ht="15.75" customHeight="1" x14ac:dyDescent="0.25">
      <c r="E75" s="1"/>
    </row>
    <row r="76" spans="5:5" ht="15.75" customHeight="1" x14ac:dyDescent="0.25">
      <c r="E76" s="1"/>
    </row>
    <row r="77" spans="5:5" ht="15.75" customHeight="1" x14ac:dyDescent="0.25">
      <c r="E77" s="1"/>
    </row>
    <row r="78" spans="5:5" ht="15.75" customHeight="1" x14ac:dyDescent="0.25">
      <c r="E78" s="1"/>
    </row>
    <row r="79" spans="5:5" ht="15.75" customHeight="1" x14ac:dyDescent="0.25">
      <c r="E79" s="1"/>
    </row>
    <row r="80" spans="5:5" ht="15.75" customHeight="1" x14ac:dyDescent="0.25">
      <c r="E80" s="1"/>
    </row>
    <row r="81" spans="5:5" ht="15.75" customHeight="1" x14ac:dyDescent="0.25">
      <c r="E81" s="1"/>
    </row>
    <row r="82" spans="5:5" ht="15.75" customHeight="1" x14ac:dyDescent="0.25">
      <c r="E82" s="1"/>
    </row>
    <row r="83" spans="5:5" ht="15.75" customHeight="1" x14ac:dyDescent="0.25">
      <c r="E83" s="1"/>
    </row>
    <row r="84" spans="5:5" ht="15.75" customHeight="1" x14ac:dyDescent="0.25">
      <c r="E84" s="1"/>
    </row>
    <row r="85" spans="5:5" ht="15.75" customHeight="1" x14ac:dyDescent="0.25">
      <c r="E85" s="1"/>
    </row>
    <row r="86" spans="5:5" ht="15.75" customHeight="1" x14ac:dyDescent="0.25">
      <c r="E86" s="1"/>
    </row>
    <row r="87" spans="5:5" ht="15.75" customHeight="1" x14ac:dyDescent="0.25">
      <c r="E87" s="1"/>
    </row>
    <row r="88" spans="5:5" ht="15.75" customHeight="1" x14ac:dyDescent="0.25">
      <c r="E88" s="1"/>
    </row>
    <row r="89" spans="5:5" ht="15.75" customHeight="1" x14ac:dyDescent="0.25">
      <c r="E89" s="1"/>
    </row>
    <row r="90" spans="5:5" ht="15.75" customHeight="1" x14ac:dyDescent="0.25">
      <c r="E90" s="1"/>
    </row>
    <row r="91" spans="5:5" ht="15.75" customHeight="1" x14ac:dyDescent="0.25">
      <c r="E91" s="1"/>
    </row>
    <row r="92" spans="5:5" ht="15.75" customHeight="1" x14ac:dyDescent="0.25">
      <c r="E92" s="1"/>
    </row>
    <row r="93" spans="5:5" ht="15.75" customHeight="1" x14ac:dyDescent="0.25">
      <c r="E93" s="1"/>
    </row>
    <row r="94" spans="5:5" ht="15.75" customHeight="1" x14ac:dyDescent="0.25">
      <c r="E94" s="1"/>
    </row>
    <row r="95" spans="5:5" ht="15.75" customHeight="1" x14ac:dyDescent="0.25">
      <c r="E95" s="1"/>
    </row>
    <row r="96" spans="5:5" ht="15.75" customHeight="1" x14ac:dyDescent="0.25">
      <c r="E96" s="1"/>
    </row>
    <row r="97" spans="5:5" ht="15.75" customHeight="1" x14ac:dyDescent="0.25">
      <c r="E97" s="1"/>
    </row>
    <row r="98" spans="5:5" ht="15.75" customHeight="1" x14ac:dyDescent="0.25">
      <c r="E98" s="1"/>
    </row>
    <row r="99" spans="5:5" ht="15.75" customHeight="1" x14ac:dyDescent="0.25">
      <c r="E99" s="1"/>
    </row>
    <row r="100" spans="5:5" ht="15.75" customHeight="1" x14ac:dyDescent="0.25">
      <c r="E100" s="1"/>
    </row>
    <row r="101" spans="5:5" ht="15.75" customHeight="1" x14ac:dyDescent="0.25">
      <c r="E101" s="1"/>
    </row>
    <row r="102" spans="5:5" ht="15.75" customHeight="1" x14ac:dyDescent="0.25">
      <c r="E102" s="1"/>
    </row>
    <row r="103" spans="5:5" ht="15.75" customHeight="1" x14ac:dyDescent="0.25">
      <c r="E103" s="1"/>
    </row>
    <row r="104" spans="5:5" ht="15.75" customHeight="1" x14ac:dyDescent="0.25">
      <c r="E104" s="1"/>
    </row>
    <row r="105" spans="5:5" ht="15.75" customHeight="1" x14ac:dyDescent="0.25">
      <c r="E105" s="1"/>
    </row>
    <row r="106" spans="5:5" ht="15.75" customHeight="1" x14ac:dyDescent="0.25">
      <c r="E106" s="1"/>
    </row>
    <row r="107" spans="5:5" ht="15.75" customHeight="1" x14ac:dyDescent="0.25">
      <c r="E107" s="1"/>
    </row>
    <row r="108" spans="5:5" ht="15.75" customHeight="1" x14ac:dyDescent="0.25">
      <c r="E108" s="1"/>
    </row>
    <row r="109" spans="5:5" ht="15.75" customHeight="1" x14ac:dyDescent="0.25">
      <c r="E109" s="1"/>
    </row>
    <row r="110" spans="5:5" ht="15.75" customHeight="1" x14ac:dyDescent="0.25">
      <c r="E110" s="1"/>
    </row>
    <row r="111" spans="5:5" ht="15.75" customHeight="1" x14ac:dyDescent="0.25">
      <c r="E111" s="1"/>
    </row>
    <row r="112" spans="5:5" ht="15.75" customHeight="1" x14ac:dyDescent="0.25">
      <c r="E112" s="1"/>
    </row>
    <row r="113" spans="5:5" ht="15.75" customHeight="1" x14ac:dyDescent="0.25">
      <c r="E113" s="1"/>
    </row>
    <row r="114" spans="5:5" ht="15.75" customHeight="1" x14ac:dyDescent="0.25">
      <c r="E114" s="1"/>
    </row>
    <row r="115" spans="5:5" ht="15.75" customHeight="1" x14ac:dyDescent="0.25">
      <c r="E115" s="1"/>
    </row>
    <row r="116" spans="5:5" ht="15.75" customHeight="1" x14ac:dyDescent="0.25">
      <c r="E116" s="1"/>
    </row>
    <row r="117" spans="5:5" ht="15.75" customHeight="1" x14ac:dyDescent="0.25">
      <c r="E117" s="1"/>
    </row>
    <row r="118" spans="5:5" ht="15.75" customHeight="1" x14ac:dyDescent="0.25">
      <c r="E118" s="1"/>
    </row>
    <row r="119" spans="5:5" ht="15.75" customHeight="1" x14ac:dyDescent="0.25">
      <c r="E119" s="1"/>
    </row>
    <row r="120" spans="5:5" ht="15.75" customHeight="1" x14ac:dyDescent="0.25">
      <c r="E120" s="1"/>
    </row>
    <row r="121" spans="5:5" ht="15.75" customHeight="1" x14ac:dyDescent="0.25">
      <c r="E121" s="1"/>
    </row>
    <row r="122" spans="5:5" ht="15.75" customHeight="1" x14ac:dyDescent="0.25">
      <c r="E122" s="1"/>
    </row>
    <row r="123" spans="5:5" ht="15.75" customHeight="1" x14ac:dyDescent="0.25">
      <c r="E123" s="1"/>
    </row>
    <row r="124" spans="5:5" ht="15.75" customHeight="1" x14ac:dyDescent="0.25">
      <c r="E124" s="1"/>
    </row>
    <row r="125" spans="5:5" ht="15.75" customHeight="1" x14ac:dyDescent="0.25">
      <c r="E125" s="1"/>
    </row>
    <row r="126" spans="5:5" ht="15.75" customHeight="1" x14ac:dyDescent="0.25">
      <c r="E126" s="1"/>
    </row>
    <row r="127" spans="5:5" ht="15.75" customHeight="1" x14ac:dyDescent="0.25">
      <c r="E127" s="1"/>
    </row>
    <row r="128" spans="5:5" ht="15.75" customHeight="1" x14ac:dyDescent="0.25">
      <c r="E128" s="1"/>
    </row>
    <row r="129" spans="5:5" ht="15.75" customHeight="1" x14ac:dyDescent="0.25">
      <c r="E129" s="1"/>
    </row>
    <row r="130" spans="5:5" ht="15.75" customHeight="1" x14ac:dyDescent="0.25">
      <c r="E130" s="1"/>
    </row>
    <row r="131" spans="5:5" ht="15.75" customHeight="1" x14ac:dyDescent="0.25">
      <c r="E131" s="1"/>
    </row>
    <row r="132" spans="5:5" ht="15.75" customHeight="1" x14ac:dyDescent="0.25">
      <c r="E132" s="1"/>
    </row>
    <row r="133" spans="5:5" ht="15.75" customHeight="1" x14ac:dyDescent="0.25">
      <c r="E133" s="1"/>
    </row>
    <row r="134" spans="5:5" ht="15.75" customHeight="1" x14ac:dyDescent="0.25">
      <c r="E134" s="1"/>
    </row>
    <row r="135" spans="5:5" ht="15.75" customHeight="1" x14ac:dyDescent="0.25">
      <c r="E135" s="1"/>
    </row>
    <row r="136" spans="5:5" ht="15.75" customHeight="1" x14ac:dyDescent="0.25">
      <c r="E136" s="1"/>
    </row>
    <row r="137" spans="5:5" ht="15.75" customHeight="1" x14ac:dyDescent="0.25">
      <c r="E137" s="1"/>
    </row>
    <row r="138" spans="5:5" ht="15.75" customHeight="1" x14ac:dyDescent="0.25">
      <c r="E138" s="1"/>
    </row>
    <row r="139" spans="5:5" ht="15.75" customHeight="1" x14ac:dyDescent="0.25">
      <c r="E139" s="1"/>
    </row>
    <row r="140" spans="5:5" ht="15.75" customHeight="1" x14ac:dyDescent="0.25">
      <c r="E140" s="1"/>
    </row>
    <row r="141" spans="5:5" ht="15.75" customHeight="1" x14ac:dyDescent="0.25">
      <c r="E141" s="1"/>
    </row>
    <row r="142" spans="5:5" ht="15.75" customHeight="1" x14ac:dyDescent="0.25">
      <c r="E142" s="1"/>
    </row>
    <row r="143" spans="5:5" ht="15.75" customHeight="1" x14ac:dyDescent="0.25">
      <c r="E143" s="1"/>
    </row>
    <row r="144" spans="5:5" ht="15.75" customHeight="1" x14ac:dyDescent="0.25">
      <c r="E144" s="1"/>
    </row>
    <row r="145" spans="5:5" ht="15.75" customHeight="1" x14ac:dyDescent="0.25">
      <c r="E145" s="1"/>
    </row>
    <row r="146" spans="5:5" ht="15.75" customHeight="1" x14ac:dyDescent="0.25">
      <c r="E146" s="1"/>
    </row>
    <row r="147" spans="5:5" ht="15.75" customHeight="1" x14ac:dyDescent="0.25">
      <c r="E147" s="1"/>
    </row>
    <row r="148" spans="5:5" ht="15.75" customHeight="1" x14ac:dyDescent="0.25">
      <c r="E148" s="1"/>
    </row>
    <row r="149" spans="5:5" ht="15.75" customHeight="1" x14ac:dyDescent="0.25">
      <c r="E149" s="1"/>
    </row>
    <row r="150" spans="5:5" ht="15.75" customHeight="1" x14ac:dyDescent="0.25">
      <c r="E150" s="1"/>
    </row>
    <row r="151" spans="5:5" ht="15.75" customHeight="1" x14ac:dyDescent="0.25">
      <c r="E151" s="1"/>
    </row>
    <row r="152" spans="5:5" ht="15.75" customHeight="1" x14ac:dyDescent="0.25">
      <c r="E152" s="1"/>
    </row>
    <row r="153" spans="5:5" ht="15.75" customHeight="1" x14ac:dyDescent="0.25">
      <c r="E153" s="1"/>
    </row>
    <row r="154" spans="5:5" ht="15.75" customHeight="1" x14ac:dyDescent="0.25">
      <c r="E154" s="1"/>
    </row>
    <row r="155" spans="5:5" ht="15.75" customHeight="1" x14ac:dyDescent="0.25">
      <c r="E155" s="1"/>
    </row>
    <row r="156" spans="5:5" ht="15.75" customHeight="1" x14ac:dyDescent="0.25">
      <c r="E156" s="1"/>
    </row>
    <row r="157" spans="5:5" ht="15.75" customHeight="1" x14ac:dyDescent="0.25">
      <c r="E157" s="1"/>
    </row>
    <row r="158" spans="5:5" ht="15.75" customHeight="1" x14ac:dyDescent="0.25">
      <c r="E158" s="1"/>
    </row>
    <row r="159" spans="5:5" ht="15.75" customHeight="1" x14ac:dyDescent="0.25">
      <c r="E159" s="1"/>
    </row>
    <row r="160" spans="5:5" ht="15.75" customHeight="1" x14ac:dyDescent="0.25">
      <c r="E160" s="1"/>
    </row>
    <row r="161" spans="5:5" ht="15.75" customHeight="1" x14ac:dyDescent="0.25">
      <c r="E161" s="1"/>
    </row>
    <row r="162" spans="5:5" ht="15.75" customHeight="1" x14ac:dyDescent="0.25">
      <c r="E162" s="1"/>
    </row>
    <row r="163" spans="5:5" ht="15.75" customHeight="1" x14ac:dyDescent="0.25">
      <c r="E163" s="1"/>
    </row>
    <row r="164" spans="5:5" ht="15.75" customHeight="1" x14ac:dyDescent="0.25">
      <c r="E164" s="1"/>
    </row>
    <row r="165" spans="5:5" ht="15.75" customHeight="1" x14ac:dyDescent="0.25">
      <c r="E165" s="1"/>
    </row>
    <row r="166" spans="5:5" ht="15.75" customHeight="1" x14ac:dyDescent="0.25">
      <c r="E166" s="1"/>
    </row>
    <row r="167" spans="5:5" ht="15.75" customHeight="1" x14ac:dyDescent="0.25">
      <c r="E167" s="1"/>
    </row>
    <row r="168" spans="5:5" ht="15.75" customHeight="1" x14ac:dyDescent="0.25">
      <c r="E168" s="1"/>
    </row>
    <row r="169" spans="5:5" ht="15.75" customHeight="1" x14ac:dyDescent="0.25">
      <c r="E169" s="1"/>
    </row>
    <row r="170" spans="5:5" ht="15.75" customHeight="1" x14ac:dyDescent="0.25">
      <c r="E170" s="1"/>
    </row>
    <row r="171" spans="5:5" ht="15.75" customHeight="1" x14ac:dyDescent="0.25">
      <c r="E171" s="1"/>
    </row>
    <row r="172" spans="5:5" ht="15.75" customHeight="1" x14ac:dyDescent="0.25">
      <c r="E172" s="1"/>
    </row>
    <row r="173" spans="5:5" ht="15.75" customHeight="1" x14ac:dyDescent="0.25">
      <c r="E173" s="1"/>
    </row>
    <row r="174" spans="5:5" ht="15.75" customHeight="1" x14ac:dyDescent="0.25">
      <c r="E174" s="1"/>
    </row>
    <row r="175" spans="5:5" ht="15.75" customHeight="1" x14ac:dyDescent="0.25">
      <c r="E175" s="1"/>
    </row>
    <row r="176" spans="5:5" ht="15.75" customHeight="1" x14ac:dyDescent="0.25">
      <c r="E176" s="1"/>
    </row>
    <row r="177" spans="5:5" ht="15.75" customHeight="1" x14ac:dyDescent="0.25">
      <c r="E177" s="1"/>
    </row>
    <row r="178" spans="5:5" ht="15.75" customHeight="1" x14ac:dyDescent="0.25">
      <c r="E178" s="1"/>
    </row>
    <row r="179" spans="5:5" ht="15.75" customHeight="1" x14ac:dyDescent="0.25">
      <c r="E179" s="1"/>
    </row>
    <row r="180" spans="5:5" ht="15.75" customHeight="1" x14ac:dyDescent="0.25">
      <c r="E180" s="1"/>
    </row>
    <row r="181" spans="5:5" ht="15.75" customHeight="1" x14ac:dyDescent="0.25">
      <c r="E181" s="1"/>
    </row>
    <row r="182" spans="5:5" ht="15.75" customHeight="1" x14ac:dyDescent="0.25">
      <c r="E182" s="1"/>
    </row>
    <row r="183" spans="5:5" ht="15.75" customHeight="1" x14ac:dyDescent="0.25">
      <c r="E183" s="1"/>
    </row>
    <row r="184" spans="5:5" ht="15.75" customHeight="1" x14ac:dyDescent="0.25">
      <c r="E184" s="1"/>
    </row>
    <row r="185" spans="5:5" ht="15.75" customHeight="1" x14ac:dyDescent="0.25">
      <c r="E185" s="1"/>
    </row>
    <row r="186" spans="5:5" ht="15.75" customHeight="1" x14ac:dyDescent="0.25">
      <c r="E186" s="1"/>
    </row>
    <row r="187" spans="5:5" ht="15.75" customHeight="1" x14ac:dyDescent="0.25">
      <c r="E187" s="1"/>
    </row>
    <row r="188" spans="5:5" ht="15.75" customHeight="1" x14ac:dyDescent="0.25">
      <c r="E188" s="1"/>
    </row>
    <row r="189" spans="5:5" ht="15.75" customHeight="1" x14ac:dyDescent="0.25">
      <c r="E189" s="1"/>
    </row>
    <row r="190" spans="5:5" ht="15.75" customHeight="1" x14ac:dyDescent="0.25">
      <c r="E190" s="1"/>
    </row>
    <row r="191" spans="5:5" ht="15.75" customHeight="1" x14ac:dyDescent="0.25">
      <c r="E191" s="1"/>
    </row>
    <row r="192" spans="5:5" ht="15.75" customHeight="1" x14ac:dyDescent="0.25">
      <c r="E192" s="1"/>
    </row>
    <row r="193" spans="5:5" ht="15.75" customHeight="1" x14ac:dyDescent="0.25">
      <c r="E193" s="1"/>
    </row>
    <row r="194" spans="5:5" ht="15.75" customHeight="1" x14ac:dyDescent="0.25">
      <c r="E194" s="1"/>
    </row>
    <row r="195" spans="5:5" ht="15.75" customHeight="1" x14ac:dyDescent="0.25">
      <c r="E195" s="1"/>
    </row>
    <row r="196" spans="5:5" ht="15.75" customHeight="1" x14ac:dyDescent="0.25">
      <c r="E196" s="1"/>
    </row>
    <row r="197" spans="5:5" ht="15.75" customHeight="1" x14ac:dyDescent="0.25">
      <c r="E197" s="1"/>
    </row>
    <row r="198" spans="5:5" ht="15.75" customHeight="1" x14ac:dyDescent="0.25">
      <c r="E198" s="1"/>
    </row>
    <row r="199" spans="5:5" ht="15.75" customHeight="1" x14ac:dyDescent="0.25">
      <c r="E199" s="1"/>
    </row>
    <row r="200" spans="5:5" ht="15.75" customHeight="1" x14ac:dyDescent="0.25">
      <c r="E200" s="1"/>
    </row>
    <row r="201" spans="5:5" ht="15.75" customHeight="1" x14ac:dyDescent="0.25">
      <c r="E201" s="1"/>
    </row>
    <row r="202" spans="5:5" ht="15.75" customHeight="1" x14ac:dyDescent="0.25">
      <c r="E202" s="1"/>
    </row>
    <row r="203" spans="5:5" ht="15.75" customHeight="1" x14ac:dyDescent="0.25">
      <c r="E203" s="1"/>
    </row>
    <row r="204" spans="5:5" ht="15.75" customHeight="1" x14ac:dyDescent="0.25">
      <c r="E204" s="1"/>
    </row>
    <row r="205" spans="5:5" ht="15.75" customHeight="1" x14ac:dyDescent="0.25">
      <c r="E205" s="1"/>
    </row>
    <row r="206" spans="5:5" ht="15.75" customHeight="1" x14ac:dyDescent="0.25">
      <c r="E206" s="1"/>
    </row>
    <row r="207" spans="5:5" ht="15.75" customHeight="1" x14ac:dyDescent="0.25">
      <c r="E207" s="1"/>
    </row>
    <row r="208" spans="5:5" ht="15.75" customHeight="1" x14ac:dyDescent="0.25">
      <c r="E208" s="1"/>
    </row>
    <row r="209" spans="5:5" ht="15.75" customHeight="1" x14ac:dyDescent="0.25">
      <c r="E209" s="1"/>
    </row>
    <row r="210" spans="5:5" ht="15.75" customHeight="1" x14ac:dyDescent="0.25">
      <c r="E210" s="1"/>
    </row>
    <row r="211" spans="5:5" ht="15.75" customHeight="1" x14ac:dyDescent="0.25">
      <c r="E211" s="1"/>
    </row>
    <row r="212" spans="5:5" ht="15.75" customHeight="1" x14ac:dyDescent="0.25">
      <c r="E212" s="1"/>
    </row>
    <row r="213" spans="5:5" ht="15.75" customHeight="1" x14ac:dyDescent="0.25">
      <c r="E213" s="1"/>
    </row>
    <row r="214" spans="5:5" ht="15.75" customHeight="1" x14ac:dyDescent="0.25">
      <c r="E214" s="1"/>
    </row>
    <row r="215" spans="5:5" ht="15.75" customHeight="1" x14ac:dyDescent="0.25">
      <c r="E215" s="1"/>
    </row>
    <row r="216" spans="5:5" ht="15.75" customHeight="1" x14ac:dyDescent="0.25">
      <c r="E216" s="1"/>
    </row>
    <row r="217" spans="5:5" ht="15.75" customHeight="1" x14ac:dyDescent="0.25">
      <c r="E217" s="1"/>
    </row>
    <row r="218" spans="5:5" ht="15.75" customHeight="1" x14ac:dyDescent="0.25">
      <c r="E218" s="1"/>
    </row>
    <row r="219" spans="5:5" ht="15.75" customHeight="1" x14ac:dyDescent="0.25">
      <c r="E219" s="1"/>
    </row>
    <row r="220" spans="5:5" ht="15.75" customHeight="1" x14ac:dyDescent="0.25">
      <c r="E220" s="1"/>
    </row>
    <row r="221" spans="5:5" ht="15.75" customHeight="1" x14ac:dyDescent="0.25">
      <c r="E221" s="1"/>
    </row>
    <row r="222" spans="5:5" ht="15.75" customHeight="1" x14ac:dyDescent="0.25">
      <c r="E222" s="1"/>
    </row>
    <row r="223" spans="5:5" ht="15.75" customHeight="1" x14ac:dyDescent="0.25">
      <c r="E223" s="1"/>
    </row>
    <row r="224" spans="5:5" ht="15.75" customHeight="1" x14ac:dyDescent="0.25">
      <c r="E224" s="1"/>
    </row>
    <row r="225" spans="5:5" ht="15.75" customHeight="1" x14ac:dyDescent="0.25">
      <c r="E225" s="1"/>
    </row>
    <row r="226" spans="5:5" ht="15.75" customHeight="1" x14ac:dyDescent="0.25">
      <c r="E226" s="1"/>
    </row>
    <row r="227" spans="5:5" ht="15.75" customHeight="1" x14ac:dyDescent="0.25">
      <c r="E227" s="1"/>
    </row>
    <row r="228" spans="5:5" ht="15.75" customHeight="1" x14ac:dyDescent="0.25">
      <c r="E228" s="1"/>
    </row>
    <row r="229" spans="5:5" ht="15.75" customHeight="1" x14ac:dyDescent="0.25">
      <c r="E229" s="1"/>
    </row>
    <row r="230" spans="5:5" ht="15.75" customHeight="1" x14ac:dyDescent="0.25">
      <c r="E230" s="1"/>
    </row>
    <row r="231" spans="5:5" ht="15.75" customHeight="1" x14ac:dyDescent="0.25">
      <c r="E231" s="1"/>
    </row>
    <row r="232" spans="5:5" ht="15.75" customHeight="1" x14ac:dyDescent="0.25">
      <c r="E232" s="1"/>
    </row>
    <row r="233" spans="5:5" ht="15.75" customHeight="1" x14ac:dyDescent="0.25">
      <c r="E233" s="1"/>
    </row>
    <row r="234" spans="5:5" ht="15.75" customHeight="1" x14ac:dyDescent="0.25">
      <c r="E234" s="1"/>
    </row>
    <row r="235" spans="5:5" ht="15.75" customHeight="1" x14ac:dyDescent="0.25">
      <c r="E235" s="1"/>
    </row>
    <row r="236" spans="5:5" ht="15.75" customHeight="1" x14ac:dyDescent="0.25">
      <c r="E236" s="1"/>
    </row>
    <row r="237" spans="5:5" ht="15.75" customHeight="1" x14ac:dyDescent="0.25">
      <c r="E237" s="1"/>
    </row>
    <row r="238" spans="5:5" ht="15.75" customHeight="1" x14ac:dyDescent="0.25">
      <c r="E238" s="1"/>
    </row>
    <row r="239" spans="5:5" ht="15.75" customHeight="1" x14ac:dyDescent="0.25">
      <c r="E239" s="1"/>
    </row>
    <row r="240" spans="5:5" ht="15.75" customHeight="1" x14ac:dyDescent="0.25">
      <c r="E240" s="1"/>
    </row>
    <row r="241" spans="5:5" ht="15.75" customHeight="1" x14ac:dyDescent="0.25">
      <c r="E241" s="1"/>
    </row>
    <row r="242" spans="5:5" ht="15.75" customHeight="1" x14ac:dyDescent="0.25">
      <c r="E242" s="1"/>
    </row>
    <row r="243" spans="5:5" ht="15.75" customHeight="1" x14ac:dyDescent="0.25">
      <c r="E243" s="1"/>
    </row>
    <row r="244" spans="5:5" ht="15.75" customHeight="1" x14ac:dyDescent="0.25">
      <c r="E244" s="1"/>
    </row>
    <row r="245" spans="5:5" ht="15.75" customHeight="1" x14ac:dyDescent="0.25">
      <c r="E245" s="1"/>
    </row>
    <row r="246" spans="5:5" ht="15.75" customHeight="1" x14ac:dyDescent="0.25">
      <c r="E246" s="1"/>
    </row>
    <row r="247" spans="5:5" ht="15.75" customHeight="1" x14ac:dyDescent="0.25">
      <c r="E247" s="1"/>
    </row>
    <row r="248" spans="5:5" ht="15.75" customHeight="1" x14ac:dyDescent="0.25">
      <c r="E248" s="1"/>
    </row>
    <row r="249" spans="5:5" ht="15.75" customHeight="1" x14ac:dyDescent="0.25">
      <c r="E249" s="1"/>
    </row>
    <row r="250" spans="5:5" ht="15.75" customHeight="1" x14ac:dyDescent="0.25">
      <c r="E250" s="1"/>
    </row>
    <row r="251" spans="5:5" ht="15.75" customHeight="1" x14ac:dyDescent="0.25">
      <c r="E251" s="1"/>
    </row>
    <row r="252" spans="5:5" ht="15.75" customHeight="1" x14ac:dyDescent="0.25">
      <c r="E252" s="1"/>
    </row>
    <row r="253" spans="5:5" ht="15.75" customHeight="1" x14ac:dyDescent="0.25">
      <c r="E253" s="1"/>
    </row>
    <row r="254" spans="5:5" ht="15.75" customHeight="1" x14ac:dyDescent="0.25">
      <c r="E254" s="1"/>
    </row>
    <row r="255" spans="5:5" ht="15.75" customHeight="1" x14ac:dyDescent="0.25">
      <c r="E255" s="1"/>
    </row>
    <row r="256" spans="5:5" ht="15.75" customHeight="1" x14ac:dyDescent="0.25">
      <c r="E256" s="1"/>
    </row>
    <row r="257" spans="5:5" ht="15.75" customHeight="1" x14ac:dyDescent="0.25">
      <c r="E257" s="1"/>
    </row>
    <row r="258" spans="5:5" ht="15.75" customHeight="1" x14ac:dyDescent="0.25">
      <c r="E258" s="1"/>
    </row>
    <row r="259" spans="5:5" ht="15.75" customHeight="1" x14ac:dyDescent="0.25">
      <c r="E259" s="1"/>
    </row>
    <row r="260" spans="5:5" ht="15.75" customHeight="1" x14ac:dyDescent="0.25">
      <c r="E260" s="1"/>
    </row>
    <row r="261" spans="5:5" ht="15.75" customHeight="1" x14ac:dyDescent="0.25">
      <c r="E261" s="1"/>
    </row>
    <row r="262" spans="5:5" ht="15.75" customHeight="1" x14ac:dyDescent="0.25">
      <c r="E262" s="1"/>
    </row>
    <row r="263" spans="5:5" ht="15.75" customHeight="1" x14ac:dyDescent="0.25">
      <c r="E263" s="1"/>
    </row>
    <row r="264" spans="5:5" ht="15.75" customHeight="1" x14ac:dyDescent="0.25">
      <c r="E264" s="1"/>
    </row>
    <row r="265" spans="5:5" ht="15.75" customHeight="1" x14ac:dyDescent="0.25">
      <c r="E265" s="1"/>
    </row>
    <row r="266" spans="5:5" ht="15.75" customHeight="1" x14ac:dyDescent="0.25">
      <c r="E266" s="1"/>
    </row>
    <row r="267" spans="5:5" ht="15.75" customHeight="1" x14ac:dyDescent="0.25">
      <c r="E267" s="1"/>
    </row>
    <row r="268" spans="5:5" ht="15.75" customHeight="1" x14ac:dyDescent="0.25">
      <c r="E268" s="1"/>
    </row>
    <row r="269" spans="5:5" ht="15.75" customHeight="1" x14ac:dyDescent="0.25">
      <c r="E269" s="1"/>
    </row>
    <row r="270" spans="5:5" ht="15.75" customHeight="1" x14ac:dyDescent="0.25">
      <c r="E270" s="1"/>
    </row>
    <row r="271" spans="5:5" ht="15.75" customHeight="1" x14ac:dyDescent="0.25">
      <c r="E271" s="1"/>
    </row>
    <row r="272" spans="5:5" ht="15.75" customHeight="1" x14ac:dyDescent="0.25">
      <c r="E272" s="1"/>
    </row>
    <row r="273" spans="5:5" ht="15.75" customHeight="1" x14ac:dyDescent="0.25">
      <c r="E273" s="1"/>
    </row>
    <row r="274" spans="5:5" ht="15.75" customHeight="1" x14ac:dyDescent="0.25">
      <c r="E274" s="1"/>
    </row>
    <row r="275" spans="5:5" ht="15.75" customHeight="1" x14ac:dyDescent="0.25">
      <c r="E275" s="1"/>
    </row>
    <row r="276" spans="5:5" ht="15.75" customHeight="1" x14ac:dyDescent="0.25">
      <c r="E276" s="1"/>
    </row>
    <row r="277" spans="5:5" ht="15.75" customHeight="1" x14ac:dyDescent="0.25">
      <c r="E277" s="1"/>
    </row>
    <row r="278" spans="5:5" ht="15.75" customHeight="1" x14ac:dyDescent="0.25">
      <c r="E278" s="1"/>
    </row>
    <row r="279" spans="5:5" ht="15.75" customHeight="1" x14ac:dyDescent="0.25">
      <c r="E279" s="1"/>
    </row>
    <row r="280" spans="5:5" ht="15.75" customHeight="1" x14ac:dyDescent="0.25">
      <c r="E280" s="1"/>
    </row>
    <row r="281" spans="5:5" ht="15.75" customHeight="1" x14ac:dyDescent="0.25">
      <c r="E281" s="1"/>
    </row>
    <row r="282" spans="5:5" ht="15.75" customHeight="1" x14ac:dyDescent="0.25">
      <c r="E282" s="1"/>
    </row>
    <row r="283" spans="5:5" ht="15.75" customHeight="1" x14ac:dyDescent="0.25">
      <c r="E283" s="1"/>
    </row>
    <row r="284" spans="5:5" ht="15.75" customHeight="1" x14ac:dyDescent="0.25">
      <c r="E284" s="1"/>
    </row>
    <row r="285" spans="5:5" ht="15.75" customHeight="1" x14ac:dyDescent="0.25">
      <c r="E285" s="1"/>
    </row>
    <row r="286" spans="5:5" ht="15.75" customHeight="1" x14ac:dyDescent="0.25">
      <c r="E286" s="1"/>
    </row>
    <row r="287" spans="5:5" ht="15.75" customHeight="1" x14ac:dyDescent="0.25">
      <c r="E287" s="1"/>
    </row>
    <row r="288" spans="5:5" ht="15.75" customHeight="1" x14ac:dyDescent="0.25">
      <c r="E288" s="1"/>
    </row>
    <row r="289" spans="5:5" ht="15.75" customHeight="1" x14ac:dyDescent="0.25">
      <c r="E289" s="1"/>
    </row>
    <row r="290" spans="5:5" ht="15.75" customHeight="1" x14ac:dyDescent="0.25">
      <c r="E290" s="1"/>
    </row>
    <row r="291" spans="5:5" ht="15.75" customHeight="1" x14ac:dyDescent="0.25">
      <c r="E291" s="1"/>
    </row>
    <row r="292" spans="5:5" ht="15.75" customHeight="1" x14ac:dyDescent="0.25">
      <c r="E292" s="1"/>
    </row>
    <row r="293" spans="5:5" ht="15.75" customHeight="1" x14ac:dyDescent="0.25">
      <c r="E293" s="1"/>
    </row>
    <row r="294" spans="5:5" ht="15.75" customHeight="1" x14ac:dyDescent="0.25">
      <c r="E294" s="1"/>
    </row>
    <row r="295" spans="5:5" ht="15.75" customHeight="1" x14ac:dyDescent="0.25">
      <c r="E295" s="1"/>
    </row>
    <row r="296" spans="5:5" ht="15.75" customHeight="1" x14ac:dyDescent="0.25">
      <c r="E296" s="1"/>
    </row>
    <row r="297" spans="5:5" ht="15.75" customHeight="1" x14ac:dyDescent="0.25">
      <c r="E297" s="1"/>
    </row>
    <row r="298" spans="5:5" ht="15.75" customHeight="1" x14ac:dyDescent="0.25">
      <c r="E298" s="1"/>
    </row>
    <row r="299" spans="5:5" ht="15.75" customHeight="1" x14ac:dyDescent="0.25">
      <c r="E299" s="1"/>
    </row>
    <row r="300" spans="5:5" ht="15.75" customHeight="1" x14ac:dyDescent="0.25">
      <c r="E300" s="1"/>
    </row>
    <row r="301" spans="5:5" ht="15.75" customHeight="1" x14ac:dyDescent="0.25">
      <c r="E301" s="1"/>
    </row>
    <row r="302" spans="5:5" ht="15.75" customHeight="1" x14ac:dyDescent="0.25">
      <c r="E302" s="1"/>
    </row>
    <row r="303" spans="5:5" ht="15.75" customHeight="1" x14ac:dyDescent="0.25">
      <c r="E303" s="1"/>
    </row>
    <row r="304" spans="5:5" ht="15.75" customHeight="1" x14ac:dyDescent="0.25">
      <c r="E304" s="1"/>
    </row>
    <row r="305" spans="5:5" ht="15.75" customHeight="1" x14ac:dyDescent="0.25">
      <c r="E305" s="1"/>
    </row>
    <row r="306" spans="5:5" ht="15.75" customHeight="1" x14ac:dyDescent="0.25">
      <c r="E306" s="1"/>
    </row>
    <row r="307" spans="5:5" ht="15.75" customHeight="1" x14ac:dyDescent="0.25">
      <c r="E307" s="1"/>
    </row>
    <row r="308" spans="5:5" ht="15.75" customHeight="1" x14ac:dyDescent="0.25">
      <c r="E308" s="1"/>
    </row>
    <row r="309" spans="5:5" ht="15.75" customHeight="1" x14ac:dyDescent="0.25">
      <c r="E309" s="1"/>
    </row>
    <row r="310" spans="5:5" ht="15.75" customHeight="1" x14ac:dyDescent="0.25">
      <c r="E310" s="1"/>
    </row>
    <row r="311" spans="5:5" ht="15.75" customHeight="1" x14ac:dyDescent="0.25">
      <c r="E311" s="1"/>
    </row>
    <row r="312" spans="5:5" ht="15.75" customHeight="1" x14ac:dyDescent="0.25">
      <c r="E312" s="1"/>
    </row>
    <row r="313" spans="5:5" ht="15.75" customHeight="1" x14ac:dyDescent="0.25">
      <c r="E313" s="1"/>
    </row>
    <row r="314" spans="5:5" ht="15.75" customHeight="1" x14ac:dyDescent="0.25">
      <c r="E314" s="1"/>
    </row>
    <row r="315" spans="5:5" ht="15.75" customHeight="1" x14ac:dyDescent="0.25">
      <c r="E315" s="1"/>
    </row>
    <row r="316" spans="5:5" ht="15.75" customHeight="1" x14ac:dyDescent="0.25">
      <c r="E316" s="1"/>
    </row>
    <row r="317" spans="5:5" ht="15.75" customHeight="1" x14ac:dyDescent="0.25">
      <c r="E317" s="1"/>
    </row>
    <row r="318" spans="5:5" ht="15.75" customHeight="1" x14ac:dyDescent="0.25">
      <c r="E318" s="1"/>
    </row>
    <row r="319" spans="5:5" ht="15.75" customHeight="1" x14ac:dyDescent="0.25">
      <c r="E319" s="1"/>
    </row>
    <row r="320" spans="5:5" ht="15.75" customHeight="1" x14ac:dyDescent="0.25">
      <c r="E320" s="1"/>
    </row>
    <row r="321" spans="5:5" ht="15.75" customHeight="1" x14ac:dyDescent="0.25">
      <c r="E321" s="1"/>
    </row>
    <row r="322" spans="5:5" ht="15.75" customHeight="1" x14ac:dyDescent="0.25">
      <c r="E322" s="1"/>
    </row>
    <row r="323" spans="5:5" ht="15.75" customHeight="1" x14ac:dyDescent="0.25">
      <c r="E323" s="1"/>
    </row>
    <row r="324" spans="5:5" ht="15.75" customHeight="1" x14ac:dyDescent="0.25">
      <c r="E324" s="1"/>
    </row>
    <row r="325" spans="5:5" ht="15.75" customHeight="1" x14ac:dyDescent="0.25">
      <c r="E325" s="1"/>
    </row>
    <row r="326" spans="5:5" ht="15.75" customHeight="1" x14ac:dyDescent="0.25">
      <c r="E326" s="1"/>
    </row>
    <row r="327" spans="5:5" ht="15.75" customHeight="1" x14ac:dyDescent="0.25">
      <c r="E327" s="1"/>
    </row>
    <row r="328" spans="5:5" ht="15.75" customHeight="1" x14ac:dyDescent="0.25">
      <c r="E328" s="1"/>
    </row>
    <row r="329" spans="5:5" ht="15.75" customHeight="1" x14ac:dyDescent="0.25">
      <c r="E329" s="1"/>
    </row>
    <row r="330" spans="5:5" ht="15.75" customHeight="1" x14ac:dyDescent="0.25">
      <c r="E330" s="1"/>
    </row>
    <row r="331" spans="5:5" ht="15.75" customHeight="1" x14ac:dyDescent="0.25">
      <c r="E331" s="1"/>
    </row>
    <row r="332" spans="5:5" ht="15.75" customHeight="1" x14ac:dyDescent="0.25">
      <c r="E332" s="1"/>
    </row>
    <row r="333" spans="5:5" ht="15.75" customHeight="1" x14ac:dyDescent="0.25">
      <c r="E333" s="1"/>
    </row>
    <row r="334" spans="5:5" ht="15.75" customHeight="1" x14ac:dyDescent="0.25">
      <c r="E334" s="1"/>
    </row>
    <row r="335" spans="5:5" ht="15.75" customHeight="1" x14ac:dyDescent="0.25">
      <c r="E335" s="1"/>
    </row>
    <row r="336" spans="5:5" ht="15.75" customHeight="1" x14ac:dyDescent="0.25">
      <c r="E336" s="1"/>
    </row>
    <row r="337" spans="5:5" ht="15.75" customHeight="1" x14ac:dyDescent="0.25">
      <c r="E337" s="1"/>
    </row>
    <row r="338" spans="5:5" ht="15.75" customHeight="1" x14ac:dyDescent="0.25">
      <c r="E338" s="1"/>
    </row>
    <row r="339" spans="5:5" ht="15.75" customHeight="1" x14ac:dyDescent="0.25">
      <c r="E339" s="1"/>
    </row>
    <row r="340" spans="5:5" ht="15.75" customHeight="1" x14ac:dyDescent="0.25">
      <c r="E340" s="1"/>
    </row>
    <row r="341" spans="5:5" ht="15.75" customHeight="1" x14ac:dyDescent="0.25">
      <c r="E341" s="1"/>
    </row>
    <row r="342" spans="5:5" ht="15.75" customHeight="1" x14ac:dyDescent="0.25">
      <c r="E342" s="1"/>
    </row>
    <row r="343" spans="5:5" ht="15.75" customHeight="1" x14ac:dyDescent="0.25">
      <c r="E343" s="1"/>
    </row>
    <row r="344" spans="5:5" ht="15.75" customHeight="1" x14ac:dyDescent="0.25">
      <c r="E344" s="1"/>
    </row>
    <row r="345" spans="5:5" ht="15.75" customHeight="1" x14ac:dyDescent="0.25">
      <c r="E345" s="1"/>
    </row>
    <row r="346" spans="5:5" ht="15.75" customHeight="1" x14ac:dyDescent="0.25">
      <c r="E346" s="1"/>
    </row>
    <row r="347" spans="5:5" ht="15.75" customHeight="1" x14ac:dyDescent="0.25">
      <c r="E347" s="1"/>
    </row>
    <row r="348" spans="5:5" ht="15.75" customHeight="1" x14ac:dyDescent="0.25">
      <c r="E348" s="1"/>
    </row>
    <row r="349" spans="5:5" ht="15.75" customHeight="1" x14ac:dyDescent="0.25">
      <c r="E349" s="1"/>
    </row>
    <row r="350" spans="5:5" ht="15.75" customHeight="1" x14ac:dyDescent="0.25">
      <c r="E350" s="1"/>
    </row>
    <row r="351" spans="5:5" ht="15.75" customHeight="1" x14ac:dyDescent="0.25">
      <c r="E351" s="1"/>
    </row>
    <row r="352" spans="5:5" ht="15.75" customHeight="1" x14ac:dyDescent="0.25">
      <c r="E352" s="1"/>
    </row>
    <row r="353" spans="5:5" ht="15.75" customHeight="1" x14ac:dyDescent="0.25">
      <c r="E353" s="1"/>
    </row>
    <row r="354" spans="5:5" ht="15.75" customHeight="1" x14ac:dyDescent="0.25">
      <c r="E354" s="1"/>
    </row>
    <row r="355" spans="5:5" ht="15.75" customHeight="1" x14ac:dyDescent="0.25">
      <c r="E355" s="1"/>
    </row>
    <row r="356" spans="5:5" ht="15.75" customHeight="1" x14ac:dyDescent="0.25">
      <c r="E356" s="1"/>
    </row>
    <row r="357" spans="5:5" ht="15.75" customHeight="1" x14ac:dyDescent="0.25">
      <c r="E357" s="1"/>
    </row>
    <row r="358" spans="5:5" ht="15.75" customHeight="1" x14ac:dyDescent="0.25">
      <c r="E358" s="1"/>
    </row>
    <row r="359" spans="5:5" ht="15.75" customHeight="1" x14ac:dyDescent="0.25">
      <c r="E359" s="1"/>
    </row>
    <row r="360" spans="5:5" ht="15.75" customHeight="1" x14ac:dyDescent="0.25">
      <c r="E360" s="1"/>
    </row>
    <row r="361" spans="5:5" ht="15.75" customHeight="1" x14ac:dyDescent="0.25">
      <c r="E361" s="1"/>
    </row>
    <row r="362" spans="5:5" ht="15.75" customHeight="1" x14ac:dyDescent="0.25">
      <c r="E362" s="1"/>
    </row>
    <row r="363" spans="5:5" ht="15.75" customHeight="1" x14ac:dyDescent="0.25">
      <c r="E363" s="1"/>
    </row>
    <row r="364" spans="5:5" ht="15.75" customHeight="1" x14ac:dyDescent="0.25">
      <c r="E364" s="1"/>
    </row>
    <row r="365" spans="5:5" ht="15.75" customHeight="1" x14ac:dyDescent="0.25">
      <c r="E365" s="1"/>
    </row>
    <row r="366" spans="5:5" ht="15.75" customHeight="1" x14ac:dyDescent="0.25">
      <c r="E366" s="1"/>
    </row>
    <row r="367" spans="5:5" ht="15.75" customHeight="1" x14ac:dyDescent="0.25">
      <c r="E367" s="1"/>
    </row>
    <row r="368" spans="5:5" ht="15.75" customHeight="1" x14ac:dyDescent="0.25">
      <c r="E368" s="1"/>
    </row>
    <row r="369" spans="5:5" ht="15.75" customHeight="1" x14ac:dyDescent="0.25">
      <c r="E369" s="1"/>
    </row>
    <row r="370" spans="5:5" ht="15.75" customHeight="1" x14ac:dyDescent="0.25">
      <c r="E370" s="1"/>
    </row>
    <row r="371" spans="5:5" ht="15.75" customHeight="1" x14ac:dyDescent="0.25">
      <c r="E371" s="1"/>
    </row>
    <row r="372" spans="5:5" ht="15.75" customHeight="1" x14ac:dyDescent="0.25">
      <c r="E372" s="1"/>
    </row>
    <row r="373" spans="5:5" ht="15.75" customHeight="1" x14ac:dyDescent="0.25">
      <c r="E373" s="1"/>
    </row>
    <row r="374" spans="5:5" ht="15.75" customHeight="1" x14ac:dyDescent="0.25">
      <c r="E374" s="1"/>
    </row>
    <row r="375" spans="5:5" ht="15.75" customHeight="1" x14ac:dyDescent="0.25">
      <c r="E375" s="1"/>
    </row>
    <row r="376" spans="5:5" ht="15.75" customHeight="1" x14ac:dyDescent="0.25">
      <c r="E376" s="1"/>
    </row>
    <row r="377" spans="5:5" ht="15.75" customHeight="1" x14ac:dyDescent="0.25">
      <c r="E377" s="1"/>
    </row>
    <row r="378" spans="5:5" ht="15.75" customHeight="1" x14ac:dyDescent="0.25">
      <c r="E378" s="1"/>
    </row>
    <row r="379" spans="5:5" ht="15.75" customHeight="1" x14ac:dyDescent="0.25">
      <c r="E379" s="1"/>
    </row>
    <row r="380" spans="5:5" ht="15.75" customHeight="1" x14ac:dyDescent="0.25">
      <c r="E380" s="1"/>
    </row>
    <row r="381" spans="5:5" ht="15.75" customHeight="1" x14ac:dyDescent="0.25">
      <c r="E381" s="1"/>
    </row>
    <row r="382" spans="5:5" ht="15.75" customHeight="1" x14ac:dyDescent="0.25">
      <c r="E382" s="1"/>
    </row>
    <row r="383" spans="5:5" ht="15.75" customHeight="1" x14ac:dyDescent="0.25">
      <c r="E383" s="1"/>
    </row>
    <row r="384" spans="5:5" ht="15.75" customHeight="1" x14ac:dyDescent="0.25">
      <c r="E384" s="1"/>
    </row>
    <row r="385" spans="5:5" ht="15.75" customHeight="1" x14ac:dyDescent="0.25">
      <c r="E385" s="1"/>
    </row>
    <row r="386" spans="5:5" ht="15.75" customHeight="1" x14ac:dyDescent="0.25">
      <c r="E386" s="1"/>
    </row>
    <row r="387" spans="5:5" ht="15.75" customHeight="1" x14ac:dyDescent="0.25">
      <c r="E387" s="1"/>
    </row>
    <row r="388" spans="5:5" ht="15.75" customHeight="1" x14ac:dyDescent="0.25">
      <c r="E388" s="1"/>
    </row>
    <row r="389" spans="5:5" ht="15.75" customHeight="1" x14ac:dyDescent="0.25">
      <c r="E389" s="1"/>
    </row>
    <row r="390" spans="5:5" ht="15.75" customHeight="1" x14ac:dyDescent="0.25">
      <c r="E390" s="1"/>
    </row>
    <row r="391" spans="5:5" ht="15.75" customHeight="1" x14ac:dyDescent="0.25">
      <c r="E391" s="1"/>
    </row>
    <row r="392" spans="5:5" ht="15.75" customHeight="1" x14ac:dyDescent="0.25">
      <c r="E392" s="1"/>
    </row>
    <row r="393" spans="5:5" ht="15.75" customHeight="1" x14ac:dyDescent="0.25">
      <c r="E393" s="1"/>
    </row>
    <row r="394" spans="5:5" ht="15.75" customHeight="1" x14ac:dyDescent="0.25">
      <c r="E394" s="1"/>
    </row>
    <row r="395" spans="5:5" ht="15.75" customHeight="1" x14ac:dyDescent="0.25">
      <c r="E395" s="1"/>
    </row>
    <row r="396" spans="5:5" ht="15.75" customHeight="1" x14ac:dyDescent="0.25">
      <c r="E396" s="1"/>
    </row>
    <row r="397" spans="5:5" ht="15.75" customHeight="1" x14ac:dyDescent="0.25">
      <c r="E397" s="1"/>
    </row>
    <row r="398" spans="5:5" ht="15.75" customHeight="1" x14ac:dyDescent="0.25">
      <c r="E398" s="1"/>
    </row>
    <row r="399" spans="5:5" ht="15.75" customHeight="1" x14ac:dyDescent="0.25">
      <c r="E399" s="1"/>
    </row>
    <row r="400" spans="5:5" ht="15.75" customHeight="1" x14ac:dyDescent="0.25">
      <c r="E400" s="1"/>
    </row>
    <row r="401" spans="5:5" ht="15.75" customHeight="1" x14ac:dyDescent="0.25">
      <c r="E401" s="1"/>
    </row>
    <row r="402" spans="5:5" ht="15.75" customHeight="1" x14ac:dyDescent="0.25">
      <c r="E402" s="1"/>
    </row>
    <row r="403" spans="5:5" ht="15.75" customHeight="1" x14ac:dyDescent="0.25">
      <c r="E403" s="1"/>
    </row>
    <row r="404" spans="5:5" ht="15.75" customHeight="1" x14ac:dyDescent="0.25">
      <c r="E404" s="1"/>
    </row>
    <row r="405" spans="5:5" ht="15.75" customHeight="1" x14ac:dyDescent="0.25">
      <c r="E405" s="1"/>
    </row>
    <row r="406" spans="5:5" ht="15.75" customHeight="1" x14ac:dyDescent="0.25">
      <c r="E406" s="1"/>
    </row>
    <row r="407" spans="5:5" ht="15.75" customHeight="1" x14ac:dyDescent="0.25">
      <c r="E407" s="1"/>
    </row>
    <row r="408" spans="5:5" ht="15.75" customHeight="1" x14ac:dyDescent="0.25">
      <c r="E408" s="1"/>
    </row>
    <row r="409" spans="5:5" ht="15.75" customHeight="1" x14ac:dyDescent="0.25">
      <c r="E409" s="1"/>
    </row>
    <row r="410" spans="5:5" ht="15.75" customHeight="1" x14ac:dyDescent="0.25">
      <c r="E410" s="1"/>
    </row>
    <row r="411" spans="5:5" ht="15.75" customHeight="1" x14ac:dyDescent="0.25">
      <c r="E411" s="1"/>
    </row>
    <row r="412" spans="5:5" ht="15.75" customHeight="1" x14ac:dyDescent="0.25">
      <c r="E412" s="1"/>
    </row>
    <row r="413" spans="5:5" ht="15.75" customHeight="1" x14ac:dyDescent="0.25">
      <c r="E413" s="1"/>
    </row>
    <row r="414" spans="5:5" ht="15.75" customHeight="1" x14ac:dyDescent="0.25">
      <c r="E414" s="1"/>
    </row>
    <row r="415" spans="5:5" ht="15.75" customHeight="1" x14ac:dyDescent="0.25">
      <c r="E415" s="1"/>
    </row>
    <row r="416" spans="5:5" ht="15.75" customHeight="1" x14ac:dyDescent="0.25">
      <c r="E416" s="1"/>
    </row>
    <row r="417" spans="5:5" ht="15.75" customHeight="1" x14ac:dyDescent="0.25">
      <c r="E417" s="1"/>
    </row>
    <row r="418" spans="5:5" ht="15.75" customHeight="1" x14ac:dyDescent="0.25">
      <c r="E418" s="1"/>
    </row>
    <row r="419" spans="5:5" ht="15.75" customHeight="1" x14ac:dyDescent="0.25">
      <c r="E419" s="1"/>
    </row>
    <row r="420" spans="5:5" ht="15.75" customHeight="1" x14ac:dyDescent="0.25">
      <c r="E420" s="1"/>
    </row>
    <row r="421" spans="5:5" ht="15.75" customHeight="1" x14ac:dyDescent="0.25">
      <c r="E421" s="1"/>
    </row>
    <row r="422" spans="5:5" ht="15.75" customHeight="1" x14ac:dyDescent="0.25">
      <c r="E422" s="1"/>
    </row>
    <row r="423" spans="5:5" ht="15.75" customHeight="1" x14ac:dyDescent="0.25">
      <c r="E423" s="1"/>
    </row>
    <row r="424" spans="5:5" ht="15.75" customHeight="1" x14ac:dyDescent="0.25">
      <c r="E424" s="1"/>
    </row>
    <row r="425" spans="5:5" ht="15.75" customHeight="1" x14ac:dyDescent="0.25">
      <c r="E425" s="1"/>
    </row>
    <row r="426" spans="5:5" ht="15.75" customHeight="1" x14ac:dyDescent="0.25">
      <c r="E426" s="1"/>
    </row>
    <row r="427" spans="5:5" ht="15.75" customHeight="1" x14ac:dyDescent="0.25">
      <c r="E427" s="1"/>
    </row>
    <row r="428" spans="5:5" ht="15.75" customHeight="1" x14ac:dyDescent="0.25">
      <c r="E428" s="1"/>
    </row>
    <row r="429" spans="5:5" ht="15.75" customHeight="1" x14ac:dyDescent="0.25">
      <c r="E429" s="1"/>
    </row>
    <row r="430" spans="5:5" ht="15.75" customHeight="1" x14ac:dyDescent="0.25">
      <c r="E430" s="1"/>
    </row>
    <row r="431" spans="5:5" ht="15.75" customHeight="1" x14ac:dyDescent="0.25">
      <c r="E431" s="1"/>
    </row>
    <row r="432" spans="5:5" ht="15.75" customHeight="1" x14ac:dyDescent="0.25">
      <c r="E432" s="1"/>
    </row>
    <row r="433" spans="5:5" ht="15.75" customHeight="1" x14ac:dyDescent="0.25">
      <c r="E433" s="1"/>
    </row>
    <row r="434" spans="5:5" ht="15.75" customHeight="1" x14ac:dyDescent="0.25">
      <c r="E434" s="1"/>
    </row>
    <row r="435" spans="5:5" ht="15.75" customHeight="1" x14ac:dyDescent="0.25">
      <c r="E435" s="1"/>
    </row>
    <row r="436" spans="5:5" ht="15.75" customHeight="1" x14ac:dyDescent="0.25">
      <c r="E436" s="1"/>
    </row>
    <row r="437" spans="5:5" ht="15.75" customHeight="1" x14ac:dyDescent="0.25">
      <c r="E437" s="1"/>
    </row>
    <row r="438" spans="5:5" ht="15.75" customHeight="1" x14ac:dyDescent="0.25">
      <c r="E438" s="1"/>
    </row>
    <row r="439" spans="5:5" ht="15.75" customHeight="1" x14ac:dyDescent="0.25">
      <c r="E439" s="1"/>
    </row>
    <row r="440" spans="5:5" ht="15.75" customHeight="1" x14ac:dyDescent="0.25">
      <c r="E440" s="1"/>
    </row>
    <row r="441" spans="5:5" ht="15.75" customHeight="1" x14ac:dyDescent="0.25">
      <c r="E441" s="1"/>
    </row>
    <row r="442" spans="5:5" ht="15.75" customHeight="1" x14ac:dyDescent="0.25">
      <c r="E442" s="1"/>
    </row>
    <row r="443" spans="5:5" ht="15.75" customHeight="1" x14ac:dyDescent="0.25">
      <c r="E443" s="1"/>
    </row>
    <row r="444" spans="5:5" ht="15.75" customHeight="1" x14ac:dyDescent="0.25">
      <c r="E444" s="1"/>
    </row>
    <row r="445" spans="5:5" ht="15.75" customHeight="1" x14ac:dyDescent="0.25">
      <c r="E445" s="1"/>
    </row>
    <row r="446" spans="5:5" ht="15.75" customHeight="1" x14ac:dyDescent="0.25">
      <c r="E446" s="1"/>
    </row>
    <row r="447" spans="5:5" ht="15.75" customHeight="1" x14ac:dyDescent="0.25">
      <c r="E447" s="1"/>
    </row>
    <row r="448" spans="5:5" ht="15.75" customHeight="1" x14ac:dyDescent="0.25">
      <c r="E448" s="1"/>
    </row>
    <row r="449" spans="5:5" ht="15.75" customHeight="1" x14ac:dyDescent="0.25">
      <c r="E449" s="1"/>
    </row>
    <row r="450" spans="5:5" ht="15.75" customHeight="1" x14ac:dyDescent="0.25">
      <c r="E450" s="1"/>
    </row>
    <row r="451" spans="5:5" ht="15.75" customHeight="1" x14ac:dyDescent="0.25">
      <c r="E451" s="1"/>
    </row>
    <row r="452" spans="5:5" ht="15.75" customHeight="1" x14ac:dyDescent="0.25">
      <c r="E452" s="1"/>
    </row>
    <row r="453" spans="5:5" ht="15.75" customHeight="1" x14ac:dyDescent="0.25">
      <c r="E453" s="1"/>
    </row>
    <row r="454" spans="5:5" ht="15.75" customHeight="1" x14ac:dyDescent="0.25">
      <c r="E454" s="1"/>
    </row>
    <row r="455" spans="5:5" ht="15.75" customHeight="1" x14ac:dyDescent="0.25">
      <c r="E455" s="1"/>
    </row>
    <row r="456" spans="5:5" ht="15.75" customHeight="1" x14ac:dyDescent="0.25">
      <c r="E456" s="1"/>
    </row>
    <row r="457" spans="5:5" ht="15.75" customHeight="1" x14ac:dyDescent="0.25">
      <c r="E457" s="1"/>
    </row>
    <row r="458" spans="5:5" ht="15.75" customHeight="1" x14ac:dyDescent="0.25">
      <c r="E458" s="1"/>
    </row>
    <row r="459" spans="5:5" ht="15.75" customHeight="1" x14ac:dyDescent="0.25">
      <c r="E459" s="1"/>
    </row>
    <row r="460" spans="5:5" ht="15.75" customHeight="1" x14ac:dyDescent="0.25">
      <c r="E460" s="1"/>
    </row>
    <row r="461" spans="5:5" ht="15.75" customHeight="1" x14ac:dyDescent="0.25">
      <c r="E461" s="1"/>
    </row>
    <row r="462" spans="5:5" ht="15.75" customHeight="1" x14ac:dyDescent="0.25">
      <c r="E462" s="1"/>
    </row>
    <row r="463" spans="5:5" ht="15.75" customHeight="1" x14ac:dyDescent="0.25">
      <c r="E463" s="1"/>
    </row>
    <row r="464" spans="5:5" ht="15.75" customHeight="1" x14ac:dyDescent="0.25">
      <c r="E464" s="1"/>
    </row>
    <row r="465" spans="5:5" ht="15.75" customHeight="1" x14ac:dyDescent="0.25">
      <c r="E465" s="1"/>
    </row>
    <row r="466" spans="5:5" ht="15.75" customHeight="1" x14ac:dyDescent="0.25">
      <c r="E466" s="1"/>
    </row>
    <row r="467" spans="5:5" ht="15.75" customHeight="1" x14ac:dyDescent="0.25">
      <c r="E467" s="1"/>
    </row>
    <row r="468" spans="5:5" ht="15.75" customHeight="1" x14ac:dyDescent="0.25">
      <c r="E468" s="1"/>
    </row>
    <row r="469" spans="5:5" ht="15.75" customHeight="1" x14ac:dyDescent="0.25">
      <c r="E469" s="1"/>
    </row>
    <row r="470" spans="5:5" ht="15.75" customHeight="1" x14ac:dyDescent="0.25">
      <c r="E470" s="1"/>
    </row>
    <row r="471" spans="5:5" ht="15.75" customHeight="1" x14ac:dyDescent="0.25">
      <c r="E471" s="1"/>
    </row>
    <row r="472" spans="5:5" ht="15.75" customHeight="1" x14ac:dyDescent="0.25">
      <c r="E472" s="1"/>
    </row>
    <row r="473" spans="5:5" ht="15.75" customHeight="1" x14ac:dyDescent="0.25">
      <c r="E473" s="1"/>
    </row>
    <row r="474" spans="5:5" ht="15.75" customHeight="1" x14ac:dyDescent="0.25">
      <c r="E474" s="1"/>
    </row>
    <row r="475" spans="5:5" ht="15.75" customHeight="1" x14ac:dyDescent="0.25">
      <c r="E475" s="1"/>
    </row>
    <row r="476" spans="5:5" ht="15.75" customHeight="1" x14ac:dyDescent="0.25">
      <c r="E476" s="1"/>
    </row>
    <row r="477" spans="5:5" ht="15.75" customHeight="1" x14ac:dyDescent="0.25">
      <c r="E477" s="1"/>
    </row>
    <row r="478" spans="5:5" ht="15.75" customHeight="1" x14ac:dyDescent="0.25">
      <c r="E478" s="1"/>
    </row>
    <row r="479" spans="5:5" ht="15.75" customHeight="1" x14ac:dyDescent="0.25">
      <c r="E479" s="1"/>
    </row>
    <row r="480" spans="5:5" ht="15.75" customHeight="1" x14ac:dyDescent="0.25">
      <c r="E480" s="1"/>
    </row>
    <row r="481" spans="5:5" ht="15.75" customHeight="1" x14ac:dyDescent="0.25">
      <c r="E481" s="1"/>
    </row>
    <row r="482" spans="5:5" ht="15.75" customHeight="1" x14ac:dyDescent="0.25">
      <c r="E482" s="1"/>
    </row>
    <row r="483" spans="5:5" ht="15.75" customHeight="1" x14ac:dyDescent="0.25">
      <c r="E483" s="1"/>
    </row>
    <row r="484" spans="5:5" ht="15.75" customHeight="1" x14ac:dyDescent="0.25">
      <c r="E484" s="1"/>
    </row>
    <row r="485" spans="5:5" ht="15.75" customHeight="1" x14ac:dyDescent="0.25">
      <c r="E485" s="1"/>
    </row>
    <row r="486" spans="5:5" ht="15.75" customHeight="1" x14ac:dyDescent="0.25">
      <c r="E486" s="1"/>
    </row>
    <row r="487" spans="5:5" ht="15.75" customHeight="1" x14ac:dyDescent="0.25">
      <c r="E487" s="1"/>
    </row>
    <row r="488" spans="5:5" ht="15.75" customHeight="1" x14ac:dyDescent="0.25">
      <c r="E488" s="1"/>
    </row>
    <row r="489" spans="5:5" ht="15.75" customHeight="1" x14ac:dyDescent="0.25">
      <c r="E489" s="1"/>
    </row>
    <row r="490" spans="5:5" ht="15.75" customHeight="1" x14ac:dyDescent="0.25">
      <c r="E490" s="1"/>
    </row>
    <row r="491" spans="5:5" ht="15.75" customHeight="1" x14ac:dyDescent="0.25">
      <c r="E491" s="1"/>
    </row>
    <row r="492" spans="5:5" ht="15.75" customHeight="1" x14ac:dyDescent="0.25">
      <c r="E492" s="1"/>
    </row>
    <row r="493" spans="5:5" ht="15.75" customHeight="1" x14ac:dyDescent="0.25">
      <c r="E493" s="1"/>
    </row>
    <row r="494" spans="5:5" ht="15.75" customHeight="1" x14ac:dyDescent="0.25">
      <c r="E494" s="1"/>
    </row>
    <row r="495" spans="5:5" ht="15.75" customHeight="1" x14ac:dyDescent="0.25">
      <c r="E495" s="1"/>
    </row>
    <row r="496" spans="5:5" ht="15.75" customHeight="1" x14ac:dyDescent="0.25">
      <c r="E496" s="1"/>
    </row>
    <row r="497" spans="5:5" ht="15.75" customHeight="1" x14ac:dyDescent="0.25">
      <c r="E497" s="1"/>
    </row>
    <row r="498" spans="5:5" ht="15.75" customHeight="1" x14ac:dyDescent="0.25">
      <c r="E498" s="1"/>
    </row>
    <row r="499" spans="5:5" ht="15.75" customHeight="1" x14ac:dyDescent="0.25">
      <c r="E499" s="1"/>
    </row>
    <row r="500" spans="5:5" ht="15.75" customHeight="1" x14ac:dyDescent="0.25">
      <c r="E500" s="1"/>
    </row>
    <row r="501" spans="5:5" ht="15.75" customHeight="1" x14ac:dyDescent="0.25">
      <c r="E501" s="1"/>
    </row>
    <row r="502" spans="5:5" ht="15.75" customHeight="1" x14ac:dyDescent="0.25">
      <c r="E502" s="1"/>
    </row>
    <row r="503" spans="5:5" ht="15.75" customHeight="1" x14ac:dyDescent="0.25">
      <c r="E503" s="1"/>
    </row>
    <row r="504" spans="5:5" ht="15.75" customHeight="1" x14ac:dyDescent="0.25">
      <c r="E504" s="1"/>
    </row>
    <row r="505" spans="5:5" ht="15.75" customHeight="1" x14ac:dyDescent="0.25">
      <c r="E505" s="1"/>
    </row>
    <row r="506" spans="5:5" ht="15.75" customHeight="1" x14ac:dyDescent="0.25">
      <c r="E506" s="1"/>
    </row>
    <row r="507" spans="5:5" ht="15.75" customHeight="1" x14ac:dyDescent="0.25">
      <c r="E507" s="1"/>
    </row>
    <row r="508" spans="5:5" ht="15.75" customHeight="1" x14ac:dyDescent="0.25">
      <c r="E508" s="1"/>
    </row>
    <row r="509" spans="5:5" ht="15.75" customHeight="1" x14ac:dyDescent="0.25">
      <c r="E509" s="1"/>
    </row>
    <row r="510" spans="5:5" ht="15.75" customHeight="1" x14ac:dyDescent="0.25">
      <c r="E510" s="1"/>
    </row>
    <row r="511" spans="5:5" ht="15.75" customHeight="1" x14ac:dyDescent="0.25">
      <c r="E511" s="1"/>
    </row>
    <row r="512" spans="5:5" ht="15.75" customHeight="1" x14ac:dyDescent="0.25">
      <c r="E512" s="1"/>
    </row>
    <row r="513" spans="5:5" ht="15.75" customHeight="1" x14ac:dyDescent="0.25">
      <c r="E513" s="1"/>
    </row>
    <row r="514" spans="5:5" ht="15.75" customHeight="1" x14ac:dyDescent="0.25">
      <c r="E514" s="1"/>
    </row>
    <row r="515" spans="5:5" ht="15.75" customHeight="1" x14ac:dyDescent="0.25">
      <c r="E515" s="1"/>
    </row>
    <row r="516" spans="5:5" ht="15.75" customHeight="1" x14ac:dyDescent="0.25">
      <c r="E516" s="1"/>
    </row>
    <row r="517" spans="5:5" ht="15.75" customHeight="1" x14ac:dyDescent="0.25">
      <c r="E517" s="1"/>
    </row>
    <row r="518" spans="5:5" ht="15.75" customHeight="1" x14ac:dyDescent="0.25">
      <c r="E518" s="1"/>
    </row>
    <row r="519" spans="5:5" ht="15.75" customHeight="1" x14ac:dyDescent="0.25">
      <c r="E519" s="1"/>
    </row>
    <row r="520" spans="5:5" ht="15.75" customHeight="1" x14ac:dyDescent="0.25">
      <c r="E520" s="1"/>
    </row>
    <row r="521" spans="5:5" ht="15.75" customHeight="1" x14ac:dyDescent="0.25">
      <c r="E521" s="1"/>
    </row>
    <row r="522" spans="5:5" ht="15.75" customHeight="1" x14ac:dyDescent="0.25">
      <c r="E522" s="1"/>
    </row>
    <row r="523" spans="5:5" ht="15.75" customHeight="1" x14ac:dyDescent="0.25">
      <c r="E523" s="1"/>
    </row>
    <row r="524" spans="5:5" ht="15.75" customHeight="1" x14ac:dyDescent="0.25">
      <c r="E524" s="1"/>
    </row>
    <row r="525" spans="5:5" ht="15.75" customHeight="1" x14ac:dyDescent="0.25">
      <c r="E525" s="1"/>
    </row>
    <row r="526" spans="5:5" ht="15.75" customHeight="1" x14ac:dyDescent="0.25">
      <c r="E526" s="1"/>
    </row>
    <row r="527" spans="5:5" ht="15.75" customHeight="1" x14ac:dyDescent="0.25">
      <c r="E527" s="1"/>
    </row>
    <row r="528" spans="5:5" ht="15.75" customHeight="1" x14ac:dyDescent="0.25">
      <c r="E528" s="1"/>
    </row>
    <row r="529" spans="5:5" ht="15.75" customHeight="1" x14ac:dyDescent="0.25">
      <c r="E529" s="1"/>
    </row>
    <row r="530" spans="5:5" ht="15.75" customHeight="1" x14ac:dyDescent="0.25">
      <c r="E530" s="1"/>
    </row>
    <row r="531" spans="5:5" ht="15.75" customHeight="1" x14ac:dyDescent="0.25">
      <c r="E531" s="1"/>
    </row>
    <row r="532" spans="5:5" ht="15.75" customHeight="1" x14ac:dyDescent="0.25">
      <c r="E532" s="1"/>
    </row>
    <row r="533" spans="5:5" ht="15.75" customHeight="1" x14ac:dyDescent="0.25">
      <c r="E533" s="1"/>
    </row>
    <row r="534" spans="5:5" ht="15.75" customHeight="1" x14ac:dyDescent="0.25">
      <c r="E534" s="1"/>
    </row>
    <row r="535" spans="5:5" ht="15.75" customHeight="1" x14ac:dyDescent="0.25">
      <c r="E535" s="1"/>
    </row>
    <row r="536" spans="5:5" ht="15.75" customHeight="1" x14ac:dyDescent="0.25">
      <c r="E536" s="1"/>
    </row>
    <row r="537" spans="5:5" ht="15.75" customHeight="1" x14ac:dyDescent="0.25">
      <c r="E537" s="1"/>
    </row>
    <row r="538" spans="5:5" ht="15.75" customHeight="1" x14ac:dyDescent="0.25">
      <c r="E538" s="1"/>
    </row>
    <row r="539" spans="5:5" ht="15.75" customHeight="1" x14ac:dyDescent="0.25">
      <c r="E539" s="1"/>
    </row>
    <row r="540" spans="5:5" ht="15.75" customHeight="1" x14ac:dyDescent="0.25">
      <c r="E540" s="1"/>
    </row>
    <row r="541" spans="5:5" ht="15.75" customHeight="1" x14ac:dyDescent="0.25">
      <c r="E541" s="1"/>
    </row>
    <row r="542" spans="5:5" ht="15.75" customHeight="1" x14ac:dyDescent="0.25">
      <c r="E542" s="1"/>
    </row>
    <row r="543" spans="5:5" ht="15.75" customHeight="1" x14ac:dyDescent="0.25">
      <c r="E543" s="1"/>
    </row>
    <row r="544" spans="5:5" ht="15.75" customHeight="1" x14ac:dyDescent="0.25">
      <c r="E544" s="1"/>
    </row>
    <row r="545" spans="5:5" ht="15.75" customHeight="1" x14ac:dyDescent="0.25">
      <c r="E545" s="1"/>
    </row>
    <row r="546" spans="5:5" ht="15.75" customHeight="1" x14ac:dyDescent="0.25">
      <c r="E546" s="1"/>
    </row>
    <row r="547" spans="5:5" ht="15.75" customHeight="1" x14ac:dyDescent="0.25">
      <c r="E547" s="1"/>
    </row>
    <row r="548" spans="5:5" ht="15.75" customHeight="1" x14ac:dyDescent="0.25">
      <c r="E548" s="1"/>
    </row>
    <row r="549" spans="5:5" ht="15.75" customHeight="1" x14ac:dyDescent="0.25">
      <c r="E549" s="1"/>
    </row>
    <row r="550" spans="5:5" ht="15.75" customHeight="1" x14ac:dyDescent="0.25">
      <c r="E550" s="1"/>
    </row>
    <row r="551" spans="5:5" ht="15.75" customHeight="1" x14ac:dyDescent="0.25">
      <c r="E551" s="1"/>
    </row>
    <row r="552" spans="5:5" ht="15.75" customHeight="1" x14ac:dyDescent="0.25">
      <c r="E552" s="1"/>
    </row>
    <row r="553" spans="5:5" ht="15.75" customHeight="1" x14ac:dyDescent="0.25">
      <c r="E553" s="1"/>
    </row>
    <row r="554" spans="5:5" ht="15.75" customHeight="1" x14ac:dyDescent="0.25">
      <c r="E554" s="1"/>
    </row>
    <row r="555" spans="5:5" ht="15.75" customHeight="1" x14ac:dyDescent="0.25">
      <c r="E555" s="1"/>
    </row>
    <row r="556" spans="5:5" ht="15.75" customHeight="1" x14ac:dyDescent="0.25">
      <c r="E556" s="1"/>
    </row>
    <row r="557" spans="5:5" ht="15.75" customHeight="1" x14ac:dyDescent="0.25">
      <c r="E557" s="1"/>
    </row>
    <row r="558" spans="5:5" ht="15.75" customHeight="1" x14ac:dyDescent="0.25">
      <c r="E558" s="1"/>
    </row>
    <row r="559" spans="5:5" ht="15.75" customHeight="1" x14ac:dyDescent="0.25">
      <c r="E559" s="1"/>
    </row>
    <row r="560" spans="5:5" ht="15.75" customHeight="1" x14ac:dyDescent="0.25">
      <c r="E560" s="1"/>
    </row>
    <row r="561" spans="5:5" ht="15.75" customHeight="1" x14ac:dyDescent="0.25">
      <c r="E561" s="1"/>
    </row>
    <row r="562" spans="5:5" ht="15.75" customHeight="1" x14ac:dyDescent="0.25">
      <c r="E562" s="1"/>
    </row>
    <row r="563" spans="5:5" ht="15.75" customHeight="1" x14ac:dyDescent="0.25">
      <c r="E563" s="1"/>
    </row>
    <row r="564" spans="5:5" ht="15.75" customHeight="1" x14ac:dyDescent="0.25">
      <c r="E564" s="1"/>
    </row>
    <row r="565" spans="5:5" ht="15.75" customHeight="1" x14ac:dyDescent="0.25">
      <c r="E565" s="1"/>
    </row>
    <row r="566" spans="5:5" ht="15.75" customHeight="1" x14ac:dyDescent="0.25">
      <c r="E566" s="1"/>
    </row>
    <row r="567" spans="5:5" ht="15.75" customHeight="1" x14ac:dyDescent="0.25">
      <c r="E567" s="1"/>
    </row>
    <row r="568" spans="5:5" ht="15.75" customHeight="1" x14ac:dyDescent="0.25">
      <c r="E568" s="1"/>
    </row>
    <row r="569" spans="5:5" ht="15.75" customHeight="1" x14ac:dyDescent="0.25">
      <c r="E569" s="1"/>
    </row>
    <row r="570" spans="5:5" ht="15.75" customHeight="1" x14ac:dyDescent="0.25">
      <c r="E570" s="1"/>
    </row>
    <row r="571" spans="5:5" ht="15.75" customHeight="1" x14ac:dyDescent="0.25">
      <c r="E571" s="1"/>
    </row>
    <row r="572" spans="5:5" ht="15.75" customHeight="1" x14ac:dyDescent="0.25">
      <c r="E572" s="1"/>
    </row>
    <row r="573" spans="5:5" ht="15.75" customHeight="1" x14ac:dyDescent="0.25">
      <c r="E573" s="1"/>
    </row>
    <row r="574" spans="5:5" ht="15.75" customHeight="1" x14ac:dyDescent="0.25">
      <c r="E574" s="1"/>
    </row>
    <row r="575" spans="5:5" ht="15.75" customHeight="1" x14ac:dyDescent="0.25">
      <c r="E575" s="1"/>
    </row>
    <row r="576" spans="5:5" ht="15.75" customHeight="1" x14ac:dyDescent="0.25">
      <c r="E576" s="1"/>
    </row>
    <row r="577" spans="5:5" ht="15.75" customHeight="1" x14ac:dyDescent="0.25">
      <c r="E577" s="1"/>
    </row>
    <row r="578" spans="5:5" ht="15.75" customHeight="1" x14ac:dyDescent="0.25">
      <c r="E578" s="1"/>
    </row>
    <row r="579" spans="5:5" ht="15.75" customHeight="1" x14ac:dyDescent="0.25">
      <c r="E579" s="1"/>
    </row>
    <row r="580" spans="5:5" ht="15.75" customHeight="1" x14ac:dyDescent="0.25">
      <c r="E580" s="1"/>
    </row>
    <row r="581" spans="5:5" ht="15.75" customHeight="1" x14ac:dyDescent="0.25">
      <c r="E581" s="1"/>
    </row>
    <row r="582" spans="5:5" ht="15.75" customHeight="1" x14ac:dyDescent="0.25">
      <c r="E582" s="1"/>
    </row>
    <row r="583" spans="5:5" ht="15.75" customHeight="1" x14ac:dyDescent="0.25">
      <c r="E583" s="1"/>
    </row>
    <row r="584" spans="5:5" ht="15.75" customHeight="1" x14ac:dyDescent="0.25">
      <c r="E584" s="1"/>
    </row>
    <row r="585" spans="5:5" ht="15.75" customHeight="1" x14ac:dyDescent="0.25">
      <c r="E585" s="1"/>
    </row>
    <row r="586" spans="5:5" ht="15.75" customHeight="1" x14ac:dyDescent="0.25">
      <c r="E586" s="1"/>
    </row>
    <row r="587" spans="5:5" ht="15.75" customHeight="1" x14ac:dyDescent="0.25">
      <c r="E587" s="1"/>
    </row>
    <row r="588" spans="5:5" ht="15.75" customHeight="1" x14ac:dyDescent="0.25">
      <c r="E588" s="1"/>
    </row>
    <row r="589" spans="5:5" ht="15.75" customHeight="1" x14ac:dyDescent="0.25">
      <c r="E589" s="1"/>
    </row>
    <row r="590" spans="5:5" ht="15.75" customHeight="1" x14ac:dyDescent="0.25">
      <c r="E590" s="1"/>
    </row>
    <row r="591" spans="5:5" ht="15.75" customHeight="1" x14ac:dyDescent="0.25">
      <c r="E591" s="1"/>
    </row>
    <row r="592" spans="5:5" ht="15.75" customHeight="1" x14ac:dyDescent="0.25">
      <c r="E592" s="1"/>
    </row>
    <row r="593" spans="5:5" ht="15.75" customHeight="1" x14ac:dyDescent="0.25">
      <c r="E593" s="1"/>
    </row>
    <row r="594" spans="5:5" ht="15.75" customHeight="1" x14ac:dyDescent="0.25">
      <c r="E594" s="1"/>
    </row>
    <row r="595" spans="5:5" ht="15.75" customHeight="1" x14ac:dyDescent="0.25">
      <c r="E595" s="1"/>
    </row>
    <row r="596" spans="5:5" ht="15.75" customHeight="1" x14ac:dyDescent="0.25">
      <c r="E596" s="1"/>
    </row>
    <row r="597" spans="5:5" ht="15.75" customHeight="1" x14ac:dyDescent="0.25">
      <c r="E597" s="1"/>
    </row>
    <row r="598" spans="5:5" ht="15.75" customHeight="1" x14ac:dyDescent="0.25">
      <c r="E598" s="1"/>
    </row>
    <row r="599" spans="5:5" ht="15.75" customHeight="1" x14ac:dyDescent="0.25">
      <c r="E599" s="1"/>
    </row>
    <row r="600" spans="5:5" ht="15.75" customHeight="1" x14ac:dyDescent="0.25">
      <c r="E600" s="1"/>
    </row>
    <row r="601" spans="5:5" ht="15.75" customHeight="1" x14ac:dyDescent="0.25">
      <c r="E601" s="1"/>
    </row>
    <row r="602" spans="5:5" ht="15.75" customHeight="1" x14ac:dyDescent="0.25">
      <c r="E602" s="1"/>
    </row>
    <row r="603" spans="5:5" ht="15.75" customHeight="1" x14ac:dyDescent="0.25">
      <c r="E603" s="1"/>
    </row>
    <row r="604" spans="5:5" ht="15.75" customHeight="1" x14ac:dyDescent="0.25">
      <c r="E604" s="1"/>
    </row>
    <row r="605" spans="5:5" ht="15.75" customHeight="1" x14ac:dyDescent="0.25">
      <c r="E605" s="1"/>
    </row>
    <row r="606" spans="5:5" ht="15.75" customHeight="1" x14ac:dyDescent="0.25">
      <c r="E606" s="1"/>
    </row>
    <row r="607" spans="5:5" ht="15.75" customHeight="1" x14ac:dyDescent="0.25">
      <c r="E607" s="1"/>
    </row>
    <row r="608" spans="5:5" ht="15.75" customHeight="1" x14ac:dyDescent="0.25">
      <c r="E608" s="1"/>
    </row>
    <row r="609" spans="5:5" ht="15.75" customHeight="1" x14ac:dyDescent="0.25">
      <c r="E609" s="1"/>
    </row>
    <row r="610" spans="5:5" ht="15.75" customHeight="1" x14ac:dyDescent="0.25">
      <c r="E610" s="1"/>
    </row>
    <row r="611" spans="5:5" ht="15.75" customHeight="1" x14ac:dyDescent="0.25">
      <c r="E611" s="1"/>
    </row>
    <row r="612" spans="5:5" ht="15.75" customHeight="1" x14ac:dyDescent="0.25">
      <c r="E612" s="1"/>
    </row>
    <row r="613" spans="5:5" ht="15.75" customHeight="1" x14ac:dyDescent="0.25">
      <c r="E613" s="1"/>
    </row>
    <row r="614" spans="5:5" ht="15.75" customHeight="1" x14ac:dyDescent="0.25">
      <c r="E614" s="1"/>
    </row>
    <row r="615" spans="5:5" ht="15.75" customHeight="1" x14ac:dyDescent="0.25">
      <c r="E615" s="1"/>
    </row>
    <row r="616" spans="5:5" ht="15.75" customHeight="1" x14ac:dyDescent="0.25">
      <c r="E616" s="1"/>
    </row>
    <row r="617" spans="5:5" ht="15.75" customHeight="1" x14ac:dyDescent="0.25">
      <c r="E617" s="1"/>
    </row>
    <row r="618" spans="5:5" ht="15.75" customHeight="1" x14ac:dyDescent="0.25">
      <c r="E618" s="1"/>
    </row>
    <row r="619" spans="5:5" ht="15.75" customHeight="1" x14ac:dyDescent="0.25">
      <c r="E619" s="1"/>
    </row>
    <row r="620" spans="5:5" ht="15.75" customHeight="1" x14ac:dyDescent="0.25">
      <c r="E620" s="1"/>
    </row>
    <row r="621" spans="5:5" ht="15.75" customHeight="1" x14ac:dyDescent="0.25">
      <c r="E621" s="1"/>
    </row>
    <row r="622" spans="5:5" ht="15.75" customHeight="1" x14ac:dyDescent="0.25">
      <c r="E622" s="1"/>
    </row>
    <row r="623" spans="5:5" ht="15.75" customHeight="1" x14ac:dyDescent="0.25">
      <c r="E623" s="1"/>
    </row>
    <row r="624" spans="5:5" ht="15.75" customHeight="1" x14ac:dyDescent="0.25">
      <c r="E624" s="1"/>
    </row>
    <row r="625" spans="5:5" ht="15.75" customHeight="1" x14ac:dyDescent="0.25">
      <c r="E625" s="1"/>
    </row>
    <row r="626" spans="5:5" ht="15.75" customHeight="1" x14ac:dyDescent="0.25">
      <c r="E626" s="1"/>
    </row>
    <row r="627" spans="5:5" ht="15.75" customHeight="1" x14ac:dyDescent="0.25">
      <c r="E627" s="1"/>
    </row>
    <row r="628" spans="5:5" ht="15.75" customHeight="1" x14ac:dyDescent="0.25">
      <c r="E628" s="1"/>
    </row>
    <row r="629" spans="5:5" ht="15.75" customHeight="1" x14ac:dyDescent="0.25">
      <c r="E629" s="1"/>
    </row>
    <row r="630" spans="5:5" ht="15.75" customHeight="1" x14ac:dyDescent="0.25">
      <c r="E630" s="1"/>
    </row>
    <row r="631" spans="5:5" ht="15.75" customHeight="1" x14ac:dyDescent="0.25">
      <c r="E631" s="1"/>
    </row>
    <row r="632" spans="5:5" ht="15.75" customHeight="1" x14ac:dyDescent="0.25">
      <c r="E632" s="1"/>
    </row>
    <row r="633" spans="5:5" ht="15.75" customHeight="1" x14ac:dyDescent="0.25">
      <c r="E633" s="1"/>
    </row>
    <row r="634" spans="5:5" ht="15.75" customHeight="1" x14ac:dyDescent="0.25">
      <c r="E634" s="1"/>
    </row>
    <row r="635" spans="5:5" ht="15.75" customHeight="1" x14ac:dyDescent="0.25">
      <c r="E635" s="1"/>
    </row>
    <row r="636" spans="5:5" ht="15.75" customHeight="1" x14ac:dyDescent="0.25">
      <c r="E636" s="1"/>
    </row>
    <row r="637" spans="5:5" ht="15.75" customHeight="1" x14ac:dyDescent="0.25">
      <c r="E637" s="1"/>
    </row>
    <row r="638" spans="5:5" ht="15.75" customHeight="1" x14ac:dyDescent="0.25">
      <c r="E638" s="1"/>
    </row>
    <row r="639" spans="5:5" ht="15.75" customHeight="1" x14ac:dyDescent="0.25">
      <c r="E639" s="1"/>
    </row>
    <row r="640" spans="5:5" ht="15.75" customHeight="1" x14ac:dyDescent="0.25">
      <c r="E640" s="1"/>
    </row>
    <row r="641" spans="5:5" ht="15.75" customHeight="1" x14ac:dyDescent="0.25">
      <c r="E641" s="1"/>
    </row>
    <row r="642" spans="5:5" ht="15.75" customHeight="1" x14ac:dyDescent="0.25">
      <c r="E642" s="1"/>
    </row>
    <row r="643" spans="5:5" ht="15.75" customHeight="1" x14ac:dyDescent="0.25">
      <c r="E643" s="1"/>
    </row>
    <row r="644" spans="5:5" ht="15.75" customHeight="1" x14ac:dyDescent="0.25">
      <c r="E644" s="1"/>
    </row>
    <row r="645" spans="5:5" ht="15.75" customHeight="1" x14ac:dyDescent="0.25">
      <c r="E645" s="1"/>
    </row>
    <row r="646" spans="5:5" ht="15.75" customHeight="1" x14ac:dyDescent="0.25">
      <c r="E646" s="1"/>
    </row>
    <row r="647" spans="5:5" ht="15.75" customHeight="1" x14ac:dyDescent="0.25">
      <c r="E647" s="1"/>
    </row>
    <row r="648" spans="5:5" ht="15.75" customHeight="1" x14ac:dyDescent="0.25">
      <c r="E648" s="1"/>
    </row>
    <row r="649" spans="5:5" ht="15.75" customHeight="1" x14ac:dyDescent="0.25">
      <c r="E649" s="1"/>
    </row>
    <row r="650" spans="5:5" ht="15.75" customHeight="1" x14ac:dyDescent="0.25">
      <c r="E650" s="1"/>
    </row>
    <row r="651" spans="5:5" ht="15.75" customHeight="1" x14ac:dyDescent="0.25">
      <c r="E651" s="1"/>
    </row>
    <row r="652" spans="5:5" ht="15.75" customHeight="1" x14ac:dyDescent="0.25">
      <c r="E652" s="1"/>
    </row>
    <row r="653" spans="5:5" ht="15.75" customHeight="1" x14ac:dyDescent="0.25">
      <c r="E653" s="1"/>
    </row>
    <row r="654" spans="5:5" ht="15.75" customHeight="1" x14ac:dyDescent="0.25">
      <c r="E654" s="1"/>
    </row>
    <row r="655" spans="5:5" ht="15.75" customHeight="1" x14ac:dyDescent="0.25">
      <c r="E655" s="1"/>
    </row>
    <row r="656" spans="5:5" ht="15.75" customHeight="1" x14ac:dyDescent="0.25">
      <c r="E656" s="1"/>
    </row>
    <row r="657" spans="5:5" ht="15.75" customHeight="1" x14ac:dyDescent="0.25">
      <c r="E657" s="1"/>
    </row>
    <row r="658" spans="5:5" ht="15.75" customHeight="1" x14ac:dyDescent="0.25">
      <c r="E658" s="1"/>
    </row>
    <row r="659" spans="5:5" ht="15.75" customHeight="1" x14ac:dyDescent="0.25">
      <c r="E659" s="1"/>
    </row>
    <row r="660" spans="5:5" ht="15.75" customHeight="1" x14ac:dyDescent="0.25">
      <c r="E660" s="1"/>
    </row>
    <row r="661" spans="5:5" ht="15.75" customHeight="1" x14ac:dyDescent="0.25">
      <c r="E661" s="1"/>
    </row>
    <row r="662" spans="5:5" ht="15.75" customHeight="1" x14ac:dyDescent="0.25">
      <c r="E662" s="1"/>
    </row>
    <row r="663" spans="5:5" ht="15.75" customHeight="1" x14ac:dyDescent="0.25">
      <c r="E663" s="1"/>
    </row>
    <row r="664" spans="5:5" ht="15.75" customHeight="1" x14ac:dyDescent="0.25">
      <c r="E664" s="1"/>
    </row>
    <row r="665" spans="5:5" ht="15.75" customHeight="1" x14ac:dyDescent="0.25">
      <c r="E665" s="1"/>
    </row>
    <row r="666" spans="5:5" ht="15.75" customHeight="1" x14ac:dyDescent="0.25">
      <c r="E666" s="1"/>
    </row>
    <row r="667" spans="5:5" ht="15.75" customHeight="1" x14ac:dyDescent="0.25">
      <c r="E667" s="1"/>
    </row>
    <row r="668" spans="5:5" ht="15.75" customHeight="1" x14ac:dyDescent="0.25">
      <c r="E668" s="1"/>
    </row>
    <row r="669" spans="5:5" ht="15.75" customHeight="1" x14ac:dyDescent="0.25">
      <c r="E669" s="1"/>
    </row>
    <row r="670" spans="5:5" ht="15.75" customHeight="1" x14ac:dyDescent="0.25">
      <c r="E670" s="1"/>
    </row>
    <row r="671" spans="5:5" ht="15.75" customHeight="1" x14ac:dyDescent="0.25">
      <c r="E671" s="1"/>
    </row>
    <row r="672" spans="5:5" ht="15.75" customHeight="1" x14ac:dyDescent="0.25">
      <c r="E672" s="1"/>
    </row>
    <row r="673" spans="5:5" ht="15.75" customHeight="1" x14ac:dyDescent="0.25">
      <c r="E673" s="1"/>
    </row>
    <row r="674" spans="5:5" ht="15.75" customHeight="1" x14ac:dyDescent="0.25">
      <c r="E674" s="1"/>
    </row>
    <row r="675" spans="5:5" ht="15.75" customHeight="1" x14ac:dyDescent="0.25">
      <c r="E675" s="1"/>
    </row>
    <row r="676" spans="5:5" ht="15.75" customHeight="1" x14ac:dyDescent="0.25">
      <c r="E676" s="1"/>
    </row>
    <row r="677" spans="5:5" ht="15.75" customHeight="1" x14ac:dyDescent="0.25">
      <c r="E677" s="1"/>
    </row>
    <row r="678" spans="5:5" ht="15.75" customHeight="1" x14ac:dyDescent="0.25">
      <c r="E678" s="1"/>
    </row>
    <row r="679" spans="5:5" ht="15.75" customHeight="1" x14ac:dyDescent="0.25">
      <c r="E679" s="1"/>
    </row>
    <row r="680" spans="5:5" ht="15.75" customHeight="1" x14ac:dyDescent="0.25">
      <c r="E680" s="1"/>
    </row>
    <row r="681" spans="5:5" ht="15.75" customHeight="1" x14ac:dyDescent="0.25">
      <c r="E681" s="1"/>
    </row>
    <row r="682" spans="5:5" ht="15.75" customHeight="1" x14ac:dyDescent="0.25">
      <c r="E682" s="1"/>
    </row>
    <row r="683" spans="5:5" ht="15.75" customHeight="1" x14ac:dyDescent="0.25">
      <c r="E683" s="1"/>
    </row>
    <row r="684" spans="5:5" ht="15.75" customHeight="1" x14ac:dyDescent="0.25">
      <c r="E684" s="1"/>
    </row>
    <row r="685" spans="5:5" ht="15.75" customHeight="1" x14ac:dyDescent="0.25">
      <c r="E685" s="1"/>
    </row>
    <row r="686" spans="5:5" ht="15.75" customHeight="1" x14ac:dyDescent="0.25">
      <c r="E686" s="1"/>
    </row>
    <row r="687" spans="5:5" ht="15.75" customHeight="1" x14ac:dyDescent="0.25">
      <c r="E687" s="1"/>
    </row>
    <row r="688" spans="5:5" ht="15.75" customHeight="1" x14ac:dyDescent="0.25">
      <c r="E688" s="1"/>
    </row>
    <row r="689" spans="5:5" ht="15.75" customHeight="1" x14ac:dyDescent="0.25">
      <c r="E689" s="1"/>
    </row>
  </sheetData>
  <conditionalFormatting sqref="A46">
    <cfRule type="colorScale" priority="1">
      <colorScale>
        <cfvo type="min"/>
        <cfvo type="max"/>
        <color rgb="FF00FFFF"/>
        <color rgb="FFFFD666"/>
      </colorScale>
    </cfRule>
  </conditionalFormatting>
  <conditionalFormatting sqref="A3:D46 F3:AA46 E3:E48">
    <cfRule type="notContainsBlanks" dxfId="1" priority="2">
      <formula>LEN(TRIM(A3))&gt;0</formula>
    </cfRule>
  </conditionalFormatting>
  <conditionalFormatting sqref="I15">
    <cfRule type="notContainsBlanks" dxfId="0" priority="3">
      <formula>LEN(TRIM(I15))&gt;0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giorda</dc:creator>
  <cp:lastModifiedBy>sergio giorda</cp:lastModifiedBy>
  <dcterms:created xsi:type="dcterms:W3CDTF">2026-04-22T21:08:29Z</dcterms:created>
  <dcterms:modified xsi:type="dcterms:W3CDTF">2026-04-22T21:13:19Z</dcterms:modified>
</cp:coreProperties>
</file>